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7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110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adampersson/Desktop/"/>
    </mc:Choice>
  </mc:AlternateContent>
  <xr:revisionPtr revIDLastSave="0" documentId="8_{51D162D5-AC53-4342-81E7-A9C4A6A51B05}" xr6:coauthVersionLast="47" xr6:coauthVersionMax="47" xr10:uidLastSave="{00000000-0000-0000-0000-000000000000}"/>
  <bookViews>
    <workbookView xWindow="0" yWindow="760" windowWidth="29400" windowHeight="18360" activeTab="1" xr2:uid="{00000000-000D-0000-FFFF-FFFF00000000}"/>
  </bookViews>
  <sheets>
    <sheet name="loan1" sheetId="1" r:id="rId1"/>
    <sheet name="loan2" sheetId="3" r:id="rId2"/>
    <sheet name="summary" sheetId="4" r:id="rId3"/>
    <sheet name="Income &amp; Expenses" sheetId="2" r:id="rId4"/>
    <sheet name="loan3" sheetId="6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2" i="2" l="1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I45" i="2"/>
  <c r="I46" i="2"/>
  <c r="I47" i="2"/>
  <c r="I48" i="2"/>
  <c r="I49" i="2"/>
  <c r="I50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B6" i="2"/>
  <c r="C51" i="2"/>
  <c r="C52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50" i="2"/>
  <c r="A33" i="2"/>
  <c r="A34" i="2"/>
  <c r="A35" i="2" s="1"/>
  <c r="A32" i="2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2" i="2"/>
  <c r="B7" i="2"/>
  <c r="B8" i="2"/>
  <c r="B9" i="2"/>
  <c r="B10" i="2"/>
  <c r="B11" i="2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A54" i="4"/>
  <c r="A52" i="4"/>
  <c r="A53" i="4" s="1"/>
  <c r="E52" i="4"/>
  <c r="E53" i="4"/>
  <c r="E54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6" i="4"/>
  <c r="A3" i="4"/>
  <c r="A4" i="4"/>
  <c r="A5" i="4"/>
  <c r="A6" i="4"/>
  <c r="A7" i="4"/>
  <c r="A8" i="4" s="1"/>
  <c r="A9" i="4" s="1"/>
  <c r="A10" i="4" s="1"/>
  <c r="A11" i="4" s="1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E3" i="6"/>
  <c r="D3" i="6"/>
  <c r="B4" i="6"/>
  <c r="C3" i="6"/>
  <c r="C4" i="6"/>
  <c r="G3" i="6"/>
  <c r="G4" i="6"/>
  <c r="D4" i="6" s="1"/>
  <c r="G2" i="6"/>
  <c r="A32" i="6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31" i="6"/>
  <c r="B2" i="6"/>
  <c r="B2" i="1"/>
  <c r="G2" i="1" s="1"/>
  <c r="H2" i="2" s="1"/>
  <c r="E2" i="2" s="1"/>
  <c r="D2" i="2" s="1"/>
  <c r="C2" i="3"/>
  <c r="B2" i="3"/>
  <c r="G2" i="3" s="1"/>
  <c r="B32" i="2" l="1"/>
  <c r="A36" i="2"/>
  <c r="A37" i="2" s="1"/>
  <c r="A38" i="2" s="1"/>
  <c r="A39" i="2" s="1"/>
  <c r="A40" i="2" s="1"/>
  <c r="A41" i="2" s="1"/>
  <c r="A42" i="2" s="1"/>
  <c r="A43" i="2" s="1"/>
  <c r="A44" i="2" s="1"/>
  <c r="A45" i="2" s="1"/>
  <c r="A46" i="2" s="1"/>
  <c r="A47" i="2" s="1"/>
  <c r="A48" i="2" s="1"/>
  <c r="A49" i="2" s="1"/>
  <c r="A50" i="2" s="1"/>
  <c r="A51" i="2" s="1"/>
  <c r="A52" i="2" s="1"/>
  <c r="A53" i="2" s="1"/>
  <c r="E4" i="6"/>
  <c r="B5" i="6" s="1"/>
  <c r="C2" i="6"/>
  <c r="C2" i="1"/>
  <c r="C2" i="2" s="1"/>
  <c r="D2" i="3"/>
  <c r="E2" i="3" l="1"/>
  <c r="C2" i="4" s="1"/>
  <c r="B33" i="2"/>
  <c r="C5" i="6"/>
  <c r="G5" i="6"/>
  <c r="D5" i="6" s="1"/>
  <c r="E5" i="6" s="1"/>
  <c r="B6" i="6" s="1"/>
  <c r="D2" i="1"/>
  <c r="E2" i="1" s="1"/>
  <c r="B3" i="3" l="1"/>
  <c r="B3" i="1"/>
  <c r="B2" i="4"/>
  <c r="D2" i="4" s="1"/>
  <c r="B34" i="2"/>
  <c r="C6" i="6"/>
  <c r="G6" i="6"/>
  <c r="D6" i="6" s="1"/>
  <c r="E6" i="6" s="1"/>
  <c r="B7" i="6" s="1"/>
  <c r="G3" i="1"/>
  <c r="H3" i="2" s="1"/>
  <c r="C3" i="1"/>
  <c r="C3" i="2" s="1"/>
  <c r="E3" i="2" s="1"/>
  <c r="C3" i="3" l="1"/>
  <c r="G3" i="3"/>
  <c r="D3" i="3" s="1"/>
  <c r="E3" i="3" s="1"/>
  <c r="C3" i="4" s="1"/>
  <c r="D3" i="2"/>
  <c r="B35" i="2"/>
  <c r="C7" i="6"/>
  <c r="G7" i="6"/>
  <c r="D7" i="6" s="1"/>
  <c r="E7" i="6" s="1"/>
  <c r="B8" i="6" s="1"/>
  <c r="D3" i="1"/>
  <c r="E3" i="1" s="1"/>
  <c r="B4" i="3" l="1"/>
  <c r="B4" i="1"/>
  <c r="B3" i="4"/>
  <c r="D3" i="4" s="1"/>
  <c r="B36" i="2"/>
  <c r="G8" i="6"/>
  <c r="D8" i="6" s="1"/>
  <c r="C8" i="6"/>
  <c r="E8" i="6"/>
  <c r="B9" i="6" s="1"/>
  <c r="C4" i="1"/>
  <c r="C4" i="2" s="1"/>
  <c r="E4" i="2" s="1"/>
  <c r="G4" i="1"/>
  <c r="C4" i="3" l="1"/>
  <c r="G4" i="3"/>
  <c r="D4" i="3" s="1"/>
  <c r="E4" i="3" s="1"/>
  <c r="D4" i="1"/>
  <c r="E4" i="1" s="1"/>
  <c r="H4" i="2"/>
  <c r="D4" i="2"/>
  <c r="B37" i="2"/>
  <c r="G9" i="6"/>
  <c r="C9" i="6"/>
  <c r="B5" i="3" l="1"/>
  <c r="C4" i="4"/>
  <c r="B5" i="1"/>
  <c r="B4" i="4"/>
  <c r="B38" i="2"/>
  <c r="D9" i="6"/>
  <c r="E9" i="6" s="1"/>
  <c r="B10" i="6" s="1"/>
  <c r="D4" i="4" l="1"/>
  <c r="C5" i="3"/>
  <c r="G5" i="3"/>
  <c r="D5" i="3" s="1"/>
  <c r="E5" i="3" s="1"/>
  <c r="G5" i="1"/>
  <c r="C5" i="1"/>
  <c r="C5" i="2" s="1"/>
  <c r="E5" i="2" s="1"/>
  <c r="B39" i="2"/>
  <c r="G10" i="6"/>
  <c r="C10" i="6"/>
  <c r="B6" i="3" l="1"/>
  <c r="C5" i="4"/>
  <c r="H5" i="2"/>
  <c r="D5" i="2" s="1"/>
  <c r="D5" i="1"/>
  <c r="E5" i="1" s="1"/>
  <c r="B40" i="2"/>
  <c r="D10" i="6"/>
  <c r="E10" i="6" s="1"/>
  <c r="B11" i="6" s="1"/>
  <c r="C6" i="3" l="1"/>
  <c r="G6" i="3"/>
  <c r="D6" i="3" s="1"/>
  <c r="E6" i="3" s="1"/>
  <c r="B6" i="1"/>
  <c r="B5" i="4"/>
  <c r="D5" i="4" s="1"/>
  <c r="B41" i="2"/>
  <c r="C11" i="6"/>
  <c r="G11" i="6"/>
  <c r="D11" i="6" s="1"/>
  <c r="E11" i="6" s="1"/>
  <c r="B12" i="6" s="1"/>
  <c r="B7" i="3" l="1"/>
  <c r="C6" i="4"/>
  <c r="C6" i="1"/>
  <c r="C6" i="2" s="1"/>
  <c r="E6" i="2" s="1"/>
  <c r="G6" i="1"/>
  <c r="B42" i="2"/>
  <c r="C12" i="6"/>
  <c r="G12" i="6"/>
  <c r="D12" i="6" s="1"/>
  <c r="E12" i="6" s="1"/>
  <c r="B13" i="6" s="1"/>
  <c r="G7" i="3" l="1"/>
  <c r="C7" i="3"/>
  <c r="D6" i="1"/>
  <c r="E6" i="1" s="1"/>
  <c r="H6" i="2"/>
  <c r="D6" i="2"/>
  <c r="B43" i="2"/>
  <c r="G13" i="6"/>
  <c r="D13" i="6" s="1"/>
  <c r="E13" i="6" s="1"/>
  <c r="B14" i="6" s="1"/>
  <c r="C13" i="6"/>
  <c r="D7" i="3" l="1"/>
  <c r="E7" i="3" s="1"/>
  <c r="B7" i="1"/>
  <c r="B6" i="4"/>
  <c r="D6" i="4" s="1"/>
  <c r="B44" i="2"/>
  <c r="C14" i="6"/>
  <c r="G14" i="6"/>
  <c r="D14" i="6" s="1"/>
  <c r="E14" i="6" s="1"/>
  <c r="B15" i="6" s="1"/>
  <c r="B8" i="3" l="1"/>
  <c r="C7" i="4"/>
  <c r="G7" i="1"/>
  <c r="C7" i="1"/>
  <c r="C7" i="2" s="1"/>
  <c r="E7" i="2" s="1"/>
  <c r="B45" i="2"/>
  <c r="G15" i="6"/>
  <c r="C15" i="6"/>
  <c r="C8" i="3" l="1"/>
  <c r="G8" i="3"/>
  <c r="D8" i="3" s="1"/>
  <c r="E8" i="3" s="1"/>
  <c r="H7" i="2"/>
  <c r="D7" i="2" s="1"/>
  <c r="D7" i="1"/>
  <c r="E7" i="1" s="1"/>
  <c r="B46" i="2"/>
  <c r="D15" i="6"/>
  <c r="E15" i="6" s="1"/>
  <c r="B16" i="6" s="1"/>
  <c r="B9" i="3" l="1"/>
  <c r="C8" i="4"/>
  <c r="B8" i="1"/>
  <c r="B7" i="4"/>
  <c r="D7" i="4" s="1"/>
  <c r="B47" i="2"/>
  <c r="C16" i="6"/>
  <c r="G16" i="6"/>
  <c r="D16" i="6" s="1"/>
  <c r="E16" i="6" s="1"/>
  <c r="B17" i="6" s="1"/>
  <c r="G9" i="3" l="1"/>
  <c r="C9" i="3"/>
  <c r="C8" i="1"/>
  <c r="C8" i="2" s="1"/>
  <c r="E8" i="2" s="1"/>
  <c r="G8" i="1"/>
  <c r="B48" i="2"/>
  <c r="G17" i="6"/>
  <c r="C17" i="6"/>
  <c r="D9" i="3" l="1"/>
  <c r="E9" i="3" s="1"/>
  <c r="D8" i="1"/>
  <c r="E8" i="1" s="1"/>
  <c r="H8" i="2"/>
  <c r="D8" i="2"/>
  <c r="B49" i="2"/>
  <c r="D17" i="6"/>
  <c r="E17" i="6" s="1"/>
  <c r="B18" i="6" s="1"/>
  <c r="B10" i="3" l="1"/>
  <c r="C9" i="4"/>
  <c r="B9" i="1"/>
  <c r="B8" i="4"/>
  <c r="D8" i="4" s="1"/>
  <c r="B50" i="2"/>
  <c r="G18" i="6"/>
  <c r="C18" i="6"/>
  <c r="G10" i="3" l="1"/>
  <c r="C10" i="3"/>
  <c r="G9" i="1"/>
  <c r="C9" i="1"/>
  <c r="C9" i="2" s="1"/>
  <c r="E9" i="2" s="1"/>
  <c r="B51" i="2"/>
  <c r="D18" i="6"/>
  <c r="E18" i="6" s="1"/>
  <c r="B19" i="6" s="1"/>
  <c r="D10" i="3" l="1"/>
  <c r="E10" i="3" s="1"/>
  <c r="D9" i="1"/>
  <c r="E9" i="1" s="1"/>
  <c r="H9" i="2"/>
  <c r="D9" i="2" s="1"/>
  <c r="B52" i="2"/>
  <c r="C19" i="6"/>
  <c r="G19" i="6"/>
  <c r="D19" i="6" s="1"/>
  <c r="E19" i="6" s="1"/>
  <c r="B20" i="6" s="1"/>
  <c r="B11" i="3" l="1"/>
  <c r="C10" i="4"/>
  <c r="B10" i="1"/>
  <c r="B9" i="4"/>
  <c r="D9" i="4" s="1"/>
  <c r="C20" i="6"/>
  <c r="G20" i="6"/>
  <c r="D20" i="6" s="1"/>
  <c r="E20" i="6"/>
  <c r="B21" i="6" s="1"/>
  <c r="C11" i="3" l="1"/>
  <c r="G11" i="3"/>
  <c r="D11" i="3" s="1"/>
  <c r="E11" i="3"/>
  <c r="G10" i="1"/>
  <c r="C10" i="1"/>
  <c r="C10" i="2" s="1"/>
  <c r="E10" i="2" s="1"/>
  <c r="C21" i="6"/>
  <c r="G21" i="6"/>
  <c r="D21" i="6" s="1"/>
  <c r="E21" i="6"/>
  <c r="B22" i="6" s="1"/>
  <c r="B12" i="3" l="1"/>
  <c r="C11" i="4"/>
  <c r="H10" i="2"/>
  <c r="D10" i="2" s="1"/>
  <c r="D10" i="1"/>
  <c r="E10" i="1" s="1"/>
  <c r="C22" i="6"/>
  <c r="G22" i="6"/>
  <c r="D22" i="6" s="1"/>
  <c r="E22" i="6" s="1"/>
  <c r="B23" i="6" s="1"/>
  <c r="G12" i="3" l="1"/>
  <c r="C12" i="3"/>
  <c r="B11" i="1"/>
  <c r="B10" i="4"/>
  <c r="D10" i="4" s="1"/>
  <c r="G23" i="6"/>
  <c r="C23" i="6"/>
  <c r="D12" i="3" l="1"/>
  <c r="E12" i="3" s="1"/>
  <c r="C11" i="1"/>
  <c r="C11" i="2" s="1"/>
  <c r="E11" i="2" s="1"/>
  <c r="G11" i="1"/>
  <c r="D23" i="6"/>
  <c r="E23" i="6" s="1"/>
  <c r="B24" i="6" s="1"/>
  <c r="B13" i="3" l="1"/>
  <c r="C12" i="4"/>
  <c r="D11" i="1"/>
  <c r="E11" i="1" s="1"/>
  <c r="H11" i="2"/>
  <c r="D11" i="2"/>
  <c r="C24" i="6"/>
  <c r="G24" i="6"/>
  <c r="D24" i="6" s="1"/>
  <c r="E24" i="6" s="1"/>
  <c r="B25" i="6" s="1"/>
  <c r="C13" i="3" l="1"/>
  <c r="G13" i="3"/>
  <c r="D13" i="3" s="1"/>
  <c r="E13" i="3" s="1"/>
  <c r="B12" i="1"/>
  <c r="B11" i="4"/>
  <c r="D11" i="4" s="1"/>
  <c r="G25" i="6"/>
  <c r="C25" i="6"/>
  <c r="B14" i="3" l="1"/>
  <c r="C13" i="4"/>
  <c r="C12" i="1"/>
  <c r="C12" i="2" s="1"/>
  <c r="E12" i="2" s="1"/>
  <c r="G12" i="1"/>
  <c r="D25" i="6"/>
  <c r="E25" i="6" s="1"/>
  <c r="B26" i="6" s="1"/>
  <c r="C14" i="3" l="1"/>
  <c r="G14" i="3"/>
  <c r="D14" i="3" s="1"/>
  <c r="E14" i="3"/>
  <c r="D12" i="1"/>
  <c r="E12" i="1" s="1"/>
  <c r="H12" i="2"/>
  <c r="D12" i="2"/>
  <c r="G26" i="6"/>
  <c r="C26" i="6"/>
  <c r="B15" i="3" l="1"/>
  <c r="C14" i="4"/>
  <c r="B13" i="1"/>
  <c r="B12" i="4"/>
  <c r="D12" i="4" s="1"/>
  <c r="D26" i="6"/>
  <c r="E26" i="6" s="1"/>
  <c r="B27" i="6" s="1"/>
  <c r="C15" i="3" l="1"/>
  <c r="G15" i="3"/>
  <c r="D15" i="3" s="1"/>
  <c r="E15" i="3"/>
  <c r="C13" i="1"/>
  <c r="C13" i="2" s="1"/>
  <c r="E13" i="2" s="1"/>
  <c r="G13" i="1"/>
  <c r="C27" i="6"/>
  <c r="G27" i="6"/>
  <c r="D27" i="6" s="1"/>
  <c r="E27" i="6" s="1"/>
  <c r="B28" i="6" s="1"/>
  <c r="B16" i="3" l="1"/>
  <c r="C15" i="4"/>
  <c r="D13" i="1"/>
  <c r="E13" i="1" s="1"/>
  <c r="H13" i="2"/>
  <c r="D13" i="2"/>
  <c r="G28" i="6"/>
  <c r="C28" i="6"/>
  <c r="G16" i="3" l="1"/>
  <c r="C16" i="3"/>
  <c r="B14" i="1"/>
  <c r="B13" i="4"/>
  <c r="D13" i="4" s="1"/>
  <c r="D28" i="6"/>
  <c r="E28" i="6" s="1"/>
  <c r="B29" i="6" s="1"/>
  <c r="D16" i="3" l="1"/>
  <c r="E16" i="3" s="1"/>
  <c r="C14" i="1"/>
  <c r="C14" i="2" s="1"/>
  <c r="E14" i="2" s="1"/>
  <c r="G14" i="1"/>
  <c r="C29" i="6"/>
  <c r="G29" i="6"/>
  <c r="D29" i="6" s="1"/>
  <c r="E29" i="6"/>
  <c r="B30" i="6" s="1"/>
  <c r="B17" i="3" l="1"/>
  <c r="C16" i="4"/>
  <c r="D14" i="1"/>
  <c r="E14" i="1" s="1"/>
  <c r="H14" i="2"/>
  <c r="D14" i="2"/>
  <c r="G30" i="6"/>
  <c r="C30" i="6"/>
  <c r="C17" i="3" l="1"/>
  <c r="G17" i="3"/>
  <c r="D17" i="3" s="1"/>
  <c r="E17" i="3" s="1"/>
  <c r="B15" i="1"/>
  <c r="B14" i="4"/>
  <c r="D14" i="4" s="1"/>
  <c r="D30" i="6"/>
  <c r="E30" i="6" s="1"/>
  <c r="B31" i="6" s="1"/>
  <c r="B18" i="3" l="1"/>
  <c r="C17" i="4"/>
  <c r="G15" i="1"/>
  <c r="C15" i="1"/>
  <c r="C15" i="2" s="1"/>
  <c r="E15" i="2" s="1"/>
  <c r="G31" i="6"/>
  <c r="C31" i="6"/>
  <c r="G18" i="3" l="1"/>
  <c r="D18" i="3" s="1"/>
  <c r="E18" i="3" s="1"/>
  <c r="C18" i="3"/>
  <c r="H15" i="2"/>
  <c r="D15" i="2" s="1"/>
  <c r="D15" i="1"/>
  <c r="E15" i="1" s="1"/>
  <c r="D31" i="6"/>
  <c r="E31" i="6" s="1"/>
  <c r="B32" i="6" s="1"/>
  <c r="B19" i="3" l="1"/>
  <c r="C18" i="4"/>
  <c r="B16" i="1"/>
  <c r="B15" i="4"/>
  <c r="D15" i="4" s="1"/>
  <c r="C32" i="6"/>
  <c r="G32" i="6"/>
  <c r="D32" i="6" s="1"/>
  <c r="E32" i="6" s="1"/>
  <c r="B33" i="6" s="1"/>
  <c r="C19" i="3" l="1"/>
  <c r="G19" i="3"/>
  <c r="D19" i="3" s="1"/>
  <c r="E19" i="3"/>
  <c r="G16" i="1"/>
  <c r="C16" i="1"/>
  <c r="C16" i="2" s="1"/>
  <c r="E16" i="2" s="1"/>
  <c r="G33" i="6"/>
  <c r="C33" i="6"/>
  <c r="B20" i="3" l="1"/>
  <c r="C19" i="4"/>
  <c r="D16" i="1"/>
  <c r="E16" i="1" s="1"/>
  <c r="H16" i="2"/>
  <c r="D16" i="2" s="1"/>
  <c r="D33" i="6"/>
  <c r="E33" i="6" s="1"/>
  <c r="B34" i="6" s="1"/>
  <c r="G20" i="3" l="1"/>
  <c r="C20" i="3"/>
  <c r="B17" i="1"/>
  <c r="B16" i="4"/>
  <c r="D16" i="4" s="1"/>
  <c r="G34" i="6"/>
  <c r="C34" i="6"/>
  <c r="D20" i="3" l="1"/>
  <c r="E20" i="3" s="1"/>
  <c r="C17" i="1"/>
  <c r="C17" i="2" s="1"/>
  <c r="E17" i="2" s="1"/>
  <c r="G17" i="1"/>
  <c r="D34" i="6"/>
  <c r="E34" i="6" s="1"/>
  <c r="B35" i="6" s="1"/>
  <c r="B21" i="3" l="1"/>
  <c r="C20" i="4"/>
  <c r="D17" i="1"/>
  <c r="E17" i="1" s="1"/>
  <c r="H17" i="2"/>
  <c r="D17" i="2"/>
  <c r="C35" i="6"/>
  <c r="G35" i="6"/>
  <c r="D35" i="6" s="1"/>
  <c r="E35" i="6" s="1"/>
  <c r="B36" i="6" s="1"/>
  <c r="C21" i="3" l="1"/>
  <c r="G21" i="3"/>
  <c r="D21" i="3" s="1"/>
  <c r="E21" i="3" s="1"/>
  <c r="B18" i="1"/>
  <c r="B17" i="4"/>
  <c r="D17" i="4" s="1"/>
  <c r="C36" i="6"/>
  <c r="G36" i="6"/>
  <c r="D36" i="6" s="1"/>
  <c r="E36" i="6" s="1"/>
  <c r="B37" i="6" s="1"/>
  <c r="B22" i="3" l="1"/>
  <c r="C21" i="4"/>
  <c r="G18" i="1"/>
  <c r="C18" i="1"/>
  <c r="C18" i="2" s="1"/>
  <c r="E18" i="2" s="1"/>
  <c r="G37" i="6"/>
  <c r="C37" i="6"/>
  <c r="G22" i="3" l="1"/>
  <c r="D22" i="3" s="1"/>
  <c r="C22" i="3"/>
  <c r="E22" i="3"/>
  <c r="H18" i="2"/>
  <c r="D18" i="2" s="1"/>
  <c r="D18" i="1"/>
  <c r="E18" i="1" s="1"/>
  <c r="D37" i="6"/>
  <c r="E37" i="6" s="1"/>
  <c r="B38" i="6" s="1"/>
  <c r="B23" i="3" l="1"/>
  <c r="C22" i="4"/>
  <c r="B19" i="1"/>
  <c r="B18" i="4"/>
  <c r="D18" i="4" s="1"/>
  <c r="C38" i="6"/>
  <c r="G38" i="6"/>
  <c r="D38" i="6" s="1"/>
  <c r="E38" i="6"/>
  <c r="B39" i="6" s="1"/>
  <c r="C23" i="3" l="1"/>
  <c r="G23" i="3"/>
  <c r="D23" i="3" s="1"/>
  <c r="E23" i="3" s="1"/>
  <c r="C19" i="1"/>
  <c r="C19" i="2" s="1"/>
  <c r="E19" i="2" s="1"/>
  <c r="G19" i="1"/>
  <c r="G39" i="6"/>
  <c r="D39" i="6" s="1"/>
  <c r="E39" i="6" s="1"/>
  <c r="B40" i="6" s="1"/>
  <c r="C39" i="6"/>
  <c r="B24" i="3" l="1"/>
  <c r="C23" i="4"/>
  <c r="D19" i="1"/>
  <c r="E19" i="1" s="1"/>
  <c r="H19" i="2"/>
  <c r="D19" i="2"/>
  <c r="G40" i="6"/>
  <c r="C40" i="6"/>
  <c r="C24" i="3" l="1"/>
  <c r="G24" i="3"/>
  <c r="D24" i="3" s="1"/>
  <c r="E24" i="3" s="1"/>
  <c r="B20" i="1"/>
  <c r="B19" i="4"/>
  <c r="D19" i="4" s="1"/>
  <c r="D40" i="6"/>
  <c r="E40" i="6" s="1"/>
  <c r="B41" i="6" s="1"/>
  <c r="B25" i="3" l="1"/>
  <c r="C24" i="4"/>
  <c r="C20" i="1"/>
  <c r="C20" i="2" s="1"/>
  <c r="E20" i="2" s="1"/>
  <c r="G20" i="1"/>
  <c r="C41" i="6"/>
  <c r="G41" i="6"/>
  <c r="D41" i="6" s="1"/>
  <c r="E41" i="6"/>
  <c r="B42" i="6" s="1"/>
  <c r="G25" i="3" l="1"/>
  <c r="C25" i="3"/>
  <c r="D20" i="1"/>
  <c r="E20" i="1" s="1"/>
  <c r="H20" i="2"/>
  <c r="D20" i="2"/>
  <c r="G42" i="6"/>
  <c r="C42" i="6"/>
  <c r="D25" i="3" l="1"/>
  <c r="E25" i="3" s="1"/>
  <c r="B21" i="1"/>
  <c r="B20" i="4"/>
  <c r="D20" i="4" s="1"/>
  <c r="D42" i="6"/>
  <c r="E42" i="6" s="1"/>
  <c r="B43" i="6" s="1"/>
  <c r="B26" i="3" l="1"/>
  <c r="C25" i="4"/>
  <c r="C21" i="1"/>
  <c r="C21" i="2" s="1"/>
  <c r="E21" i="2" s="1"/>
  <c r="G21" i="1"/>
  <c r="C43" i="6"/>
  <c r="G43" i="6"/>
  <c r="D43" i="6" s="1"/>
  <c r="E43" i="6" s="1"/>
  <c r="B44" i="6" s="1"/>
  <c r="C26" i="3" l="1"/>
  <c r="G26" i="3"/>
  <c r="D26" i="3" s="1"/>
  <c r="E26" i="3"/>
  <c r="D21" i="1"/>
  <c r="E21" i="1" s="1"/>
  <c r="H21" i="2"/>
  <c r="D21" i="2"/>
  <c r="C44" i="6"/>
  <c r="G44" i="6"/>
  <c r="D44" i="6" s="1"/>
  <c r="E44" i="6" s="1"/>
  <c r="B45" i="6" s="1"/>
  <c r="B27" i="3" l="1"/>
  <c r="C26" i="4"/>
  <c r="B22" i="1"/>
  <c r="B21" i="4"/>
  <c r="D21" i="4" s="1"/>
  <c r="C45" i="6"/>
  <c r="G45" i="6"/>
  <c r="D45" i="6" s="1"/>
  <c r="E45" i="6" s="1"/>
  <c r="B46" i="6" s="1"/>
  <c r="D2" i="6"/>
  <c r="E2" i="6" s="1"/>
  <c r="B3" i="6" s="1"/>
  <c r="K2" i="6" s="1"/>
  <c r="G27" i="3" l="1"/>
  <c r="C27" i="3"/>
  <c r="C22" i="1"/>
  <c r="C22" i="2" s="1"/>
  <c r="E22" i="2" s="1"/>
  <c r="G22" i="1"/>
  <c r="G46" i="6"/>
  <c r="C46" i="6"/>
  <c r="D27" i="3" l="1"/>
  <c r="E27" i="3" s="1"/>
  <c r="D22" i="1"/>
  <c r="E22" i="1" s="1"/>
  <c r="H22" i="2"/>
  <c r="D22" i="2"/>
  <c r="D46" i="6"/>
  <c r="E46" i="6" s="1"/>
  <c r="B47" i="6" s="1"/>
  <c r="B28" i="3" l="1"/>
  <c r="C27" i="4"/>
  <c r="B23" i="1"/>
  <c r="B22" i="4"/>
  <c r="D22" i="4" s="1"/>
  <c r="C47" i="6"/>
  <c r="G47" i="6"/>
  <c r="D47" i="6" s="1"/>
  <c r="E47" i="6"/>
  <c r="B48" i="6" s="1"/>
  <c r="C28" i="3" l="1"/>
  <c r="G28" i="3"/>
  <c r="D28" i="3" s="1"/>
  <c r="E28" i="3" s="1"/>
  <c r="G23" i="1"/>
  <c r="C23" i="1"/>
  <c r="C23" i="2" s="1"/>
  <c r="E23" i="2" s="1"/>
  <c r="C48" i="6"/>
  <c r="G48" i="6"/>
  <c r="D48" i="6" s="1"/>
  <c r="E48" i="6" s="1"/>
  <c r="B49" i="6" s="1"/>
  <c r="B29" i="3" l="1"/>
  <c r="C28" i="4"/>
  <c r="H23" i="2"/>
  <c r="D23" i="2" s="1"/>
  <c r="D23" i="1"/>
  <c r="E23" i="1" s="1"/>
  <c r="C49" i="6"/>
  <c r="G49" i="6"/>
  <c r="D49" i="6" s="1"/>
  <c r="E49" i="6" s="1"/>
  <c r="B50" i="6" s="1"/>
  <c r="C29" i="3" l="1"/>
  <c r="G29" i="3"/>
  <c r="D29" i="3" s="1"/>
  <c r="E29" i="3"/>
  <c r="B24" i="1"/>
  <c r="B23" i="4"/>
  <c r="D23" i="4" s="1"/>
  <c r="G50" i="6"/>
  <c r="C50" i="6"/>
  <c r="B30" i="3" l="1"/>
  <c r="C29" i="4"/>
  <c r="G24" i="1"/>
  <c r="C24" i="1"/>
  <c r="C24" i="2" s="1"/>
  <c r="E24" i="2" s="1"/>
  <c r="D50" i="6"/>
  <c r="E50" i="6" s="1"/>
  <c r="B51" i="6" s="1"/>
  <c r="C30" i="3" l="1"/>
  <c r="G30" i="3"/>
  <c r="D30" i="3" s="1"/>
  <c r="E30" i="3"/>
  <c r="H24" i="2"/>
  <c r="D24" i="2" s="1"/>
  <c r="D24" i="1"/>
  <c r="E24" i="1" s="1"/>
  <c r="C51" i="6"/>
  <c r="G51" i="6"/>
  <c r="D51" i="6" s="1"/>
  <c r="E51" i="6" s="1"/>
  <c r="B31" i="3" l="1"/>
  <c r="C30" i="4"/>
  <c r="B25" i="1"/>
  <c r="B24" i="4"/>
  <c r="D24" i="4" s="1"/>
  <c r="C31" i="3" l="1"/>
  <c r="K2" i="3" s="1"/>
  <c r="G31" i="3"/>
  <c r="D31" i="3" s="1"/>
  <c r="E31" i="3" s="1"/>
  <c r="C31" i="4" s="1"/>
  <c r="C25" i="1"/>
  <c r="C25" i="2" s="1"/>
  <c r="E25" i="2" s="1"/>
  <c r="G25" i="1"/>
  <c r="D25" i="1" l="1"/>
  <c r="E25" i="1" s="1"/>
  <c r="H25" i="2"/>
  <c r="D25" i="2"/>
  <c r="B26" i="1" l="1"/>
  <c r="B25" i="4"/>
  <c r="D25" i="4" s="1"/>
  <c r="G26" i="1" l="1"/>
  <c r="C26" i="1"/>
  <c r="C26" i="2" s="1"/>
  <c r="E26" i="2" s="1"/>
  <c r="H26" i="2" l="1"/>
  <c r="D26" i="2" s="1"/>
  <c r="D26" i="1"/>
  <c r="E26" i="1" s="1"/>
  <c r="B27" i="1" l="1"/>
  <c r="B26" i="4"/>
  <c r="D26" i="4" s="1"/>
  <c r="C27" i="1" l="1"/>
  <c r="C27" i="2" s="1"/>
  <c r="E27" i="2" s="1"/>
  <c r="G27" i="1"/>
  <c r="D27" i="1" l="1"/>
  <c r="E27" i="1" s="1"/>
  <c r="H27" i="2"/>
  <c r="D27" i="2"/>
  <c r="B28" i="1" l="1"/>
  <c r="B27" i="4"/>
  <c r="D27" i="4" s="1"/>
  <c r="C28" i="1" l="1"/>
  <c r="C28" i="2" s="1"/>
  <c r="E28" i="2" s="1"/>
  <c r="G28" i="1"/>
  <c r="D28" i="1" l="1"/>
  <c r="E28" i="1" s="1"/>
  <c r="H28" i="2"/>
  <c r="D28" i="2"/>
  <c r="B29" i="1" l="1"/>
  <c r="B28" i="4"/>
  <c r="D28" i="4" s="1"/>
  <c r="C29" i="1" l="1"/>
  <c r="C29" i="2" s="1"/>
  <c r="E29" i="2" s="1"/>
  <c r="G29" i="1"/>
  <c r="H29" i="2" l="1"/>
  <c r="D29" i="1"/>
  <c r="E29" i="1" s="1"/>
  <c r="D29" i="2"/>
  <c r="B30" i="1" l="1"/>
  <c r="B29" i="4"/>
  <c r="D29" i="4" s="1"/>
  <c r="C30" i="1" l="1"/>
  <c r="C30" i="2" s="1"/>
  <c r="E30" i="2" s="1"/>
  <c r="G30" i="1"/>
  <c r="D30" i="1" l="1"/>
  <c r="E30" i="1" s="1"/>
  <c r="H30" i="2"/>
  <c r="D30" i="2"/>
  <c r="B31" i="1" l="1"/>
  <c r="B30" i="4"/>
  <c r="D30" i="4" s="1"/>
  <c r="G31" i="1" l="1"/>
  <c r="C31" i="1"/>
  <c r="D31" i="1" l="1"/>
  <c r="E31" i="1" s="1"/>
  <c r="B31" i="4" s="1"/>
  <c r="D31" i="4" s="1"/>
  <c r="K2" i="1"/>
  <c r="C31" i="2"/>
  <c r="E31" i="2" s="1"/>
  <c r="D31" i="2" s="1"/>
</calcChain>
</file>

<file path=xl/sharedStrings.xml><?xml version="1.0" encoding="utf-8"?>
<sst xmlns="http://schemas.openxmlformats.org/spreadsheetml/2006/main" count="46" uniqueCount="23">
  <si>
    <t>Year</t>
  </si>
  <si>
    <t>Starting Balance</t>
  </si>
  <si>
    <t>Ending Balance</t>
  </si>
  <si>
    <t>Income</t>
  </si>
  <si>
    <t>Expenses</t>
  </si>
  <si>
    <t>Savings</t>
  </si>
  <si>
    <t>Interest rate</t>
  </si>
  <si>
    <t>Duration YR</t>
  </si>
  <si>
    <t>Start YR</t>
  </si>
  <si>
    <t>loan amount</t>
  </si>
  <si>
    <t>Intrest Payment</t>
  </si>
  <si>
    <t>principal payment</t>
  </si>
  <si>
    <t>annual payment</t>
  </si>
  <si>
    <t>IntrestSUM</t>
  </si>
  <si>
    <t>YEARS</t>
  </si>
  <si>
    <t>TOTLoan</t>
  </si>
  <si>
    <t>Loan1</t>
  </si>
  <si>
    <t>Loan2</t>
  </si>
  <si>
    <t>loan3</t>
  </si>
  <si>
    <t>House</t>
  </si>
  <si>
    <t>Savings with house</t>
  </si>
  <si>
    <t>housecost</t>
  </si>
  <si>
    <t>bidrag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</si>
</sst>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&quot;kr&quot;"/>
    <numFmt numFmtId="165" formatCode="#,##0\ &quot;kr&quot;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 applyAlignment="1">
      <alignment horizontal="center" vertical="top"/>
    </xf>
    <xf numFmtId="0" fontId="1" fillId="0" borderId="0" xfId="0" applyFont="1" applyAlignment="1">
      <alignment horizontal="center" vertical="top"/>
    </xf>
    <xf numFmtId="164" fontId="0" fillId="0" borderId="0" xfId="0" applyNumberFormat="1"/>
    <xf numFmtId="49" fontId="1" fillId="0" borderId="0" xfId="0" applyNumberFormat="1" applyFont="1"/>
    <xf numFmtId="1" fontId="0" fillId="0" borderId="0" xfId="0" applyNumberFormat="1"/>
    <xf numFmtId="165" fontId="0" fillId="0" borderId="0" xfId="0" applyNumberFormat="1"/>
    <xf numFmtId="0" fontId="1" fillId="0" borderId="3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Loan Balance Over 30 Years</a:t>
            </a:r>
          </a:p>
        </c:rich>
      </c:tx>
      <c:layout>
        <c:manualLayout>
          <c:xMode val="edge"/>
          <c:yMode val="edge"/>
          <c:x val="0.28515988362451949"/>
          <c:y val="5.97349091935419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Ending Balance</c:v>
          </c:tx>
          <c:marker>
            <c:symbol val="none"/>
          </c:marker>
          <c:cat>
            <c:numRef>
              <c:f>loan1!$A$2:$A$31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loan1!$E$2:$E$31</c:f>
              <c:numCache>
                <c:formatCode>General</c:formatCode>
                <c:ptCount val="30"/>
                <c:pt idx="0">
                  <c:v>243699.88714267858</c:v>
                </c:pt>
                <c:pt idx="1">
                  <c:v>237264.32185892473</c:v>
                </c:pt>
                <c:pt idx="2">
                  <c:v>230690.39192157018</c:v>
                </c:pt>
                <c:pt idx="3">
                  <c:v>223975.1224905625</c:v>
                </c:pt>
                <c:pt idx="4">
                  <c:v>217115.47476678816</c:v>
                </c:pt>
                <c:pt idx="5">
                  <c:v>210108.34461695267</c:v>
                </c:pt>
                <c:pt idx="6">
                  <c:v>202950.56116889571</c:v>
                </c:pt>
                <c:pt idx="7">
                  <c:v>195638.88537670553</c:v>
                </c:pt>
                <c:pt idx="8">
                  <c:v>188170.00855498324</c:v>
                </c:pt>
                <c:pt idx="9">
                  <c:v>180540.55088159395</c:v>
                </c:pt>
                <c:pt idx="10">
                  <c:v>172747.05986822679</c:v>
                </c:pt>
                <c:pt idx="11">
                  <c:v>164786.0087980722</c:v>
                </c:pt>
                <c:pt idx="12">
                  <c:v>156653.7951299093</c:v>
                </c:pt>
                <c:pt idx="13">
                  <c:v>148346.73886788089</c:v>
                </c:pt>
                <c:pt idx="14">
                  <c:v>139861.08089621889</c:v>
                </c:pt>
                <c:pt idx="15">
                  <c:v>131192.98127816615</c:v>
                </c:pt>
                <c:pt idx="16">
                  <c:v>122338.51751832526</c:v>
                </c:pt>
                <c:pt idx="17">
                  <c:v>113293.68278764778</c:v>
                </c:pt>
                <c:pt idx="18">
                  <c:v>104054.38411026074</c:v>
                </c:pt>
                <c:pt idx="19">
                  <c:v>94616.440511309862</c:v>
                </c:pt>
                <c:pt idx="20">
                  <c:v>84975.581124981545</c:v>
                </c:pt>
                <c:pt idx="21">
                  <c:v>75127.443261847162</c:v>
                </c:pt>
                <c:pt idx="22">
                  <c:v>65067.57043465539</c:v>
                </c:pt>
                <c:pt idx="23">
                  <c:v>54791.410341678973</c:v>
                </c:pt>
                <c:pt idx="24">
                  <c:v>44294.312806703572</c:v>
                </c:pt>
                <c:pt idx="25">
                  <c:v>33571.527674726181</c:v>
                </c:pt>
                <c:pt idx="26">
                  <c:v>22618.202662411262</c:v>
                </c:pt>
                <c:pt idx="27">
                  <c:v>11429.381162331521</c:v>
                </c:pt>
                <c:pt idx="28">
                  <c:v>4.9112713895738125E-11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6D-1347-85D9-E190755E40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 (SEK)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Loan Balance Over 30 Years</a:t>
            </a:r>
          </a:p>
        </c:rich>
      </c:tx>
      <c:layout>
        <c:manualLayout>
          <c:xMode val="edge"/>
          <c:yMode val="edge"/>
          <c:x val="0.28515988362451949"/>
          <c:y val="5.97349091935419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Ending Balance</c:v>
          </c:tx>
          <c:marker>
            <c:symbol val="none"/>
          </c:marker>
          <c:cat>
            <c:numRef>
              <c:f>loan1!$A$2:$A$31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loan1!$E$2:$E$31</c:f>
              <c:numCache>
                <c:formatCode>General</c:formatCode>
                <c:ptCount val="30"/>
                <c:pt idx="0">
                  <c:v>243699.88714267858</c:v>
                </c:pt>
                <c:pt idx="1">
                  <c:v>237264.32185892473</c:v>
                </c:pt>
                <c:pt idx="2">
                  <c:v>230690.39192157018</c:v>
                </c:pt>
                <c:pt idx="3">
                  <c:v>223975.1224905625</c:v>
                </c:pt>
                <c:pt idx="4">
                  <c:v>217115.47476678816</c:v>
                </c:pt>
                <c:pt idx="5">
                  <c:v>210108.34461695267</c:v>
                </c:pt>
                <c:pt idx="6">
                  <c:v>202950.56116889571</c:v>
                </c:pt>
                <c:pt idx="7">
                  <c:v>195638.88537670553</c:v>
                </c:pt>
                <c:pt idx="8">
                  <c:v>188170.00855498324</c:v>
                </c:pt>
                <c:pt idx="9">
                  <c:v>180540.55088159395</c:v>
                </c:pt>
                <c:pt idx="10">
                  <c:v>172747.05986822679</c:v>
                </c:pt>
                <c:pt idx="11">
                  <c:v>164786.0087980722</c:v>
                </c:pt>
                <c:pt idx="12">
                  <c:v>156653.7951299093</c:v>
                </c:pt>
                <c:pt idx="13">
                  <c:v>148346.73886788089</c:v>
                </c:pt>
                <c:pt idx="14">
                  <c:v>139861.08089621889</c:v>
                </c:pt>
                <c:pt idx="15">
                  <c:v>131192.98127816615</c:v>
                </c:pt>
                <c:pt idx="16">
                  <c:v>122338.51751832526</c:v>
                </c:pt>
                <c:pt idx="17">
                  <c:v>113293.68278764778</c:v>
                </c:pt>
                <c:pt idx="18">
                  <c:v>104054.38411026074</c:v>
                </c:pt>
                <c:pt idx="19">
                  <c:v>94616.440511309862</c:v>
                </c:pt>
                <c:pt idx="20">
                  <c:v>84975.581124981545</c:v>
                </c:pt>
                <c:pt idx="21">
                  <c:v>75127.443261847162</c:v>
                </c:pt>
                <c:pt idx="22">
                  <c:v>65067.57043465539</c:v>
                </c:pt>
                <c:pt idx="23">
                  <c:v>54791.410341678973</c:v>
                </c:pt>
                <c:pt idx="24">
                  <c:v>44294.312806703572</c:v>
                </c:pt>
                <c:pt idx="25">
                  <c:v>33571.527674726181</c:v>
                </c:pt>
                <c:pt idx="26">
                  <c:v>22618.202662411262</c:v>
                </c:pt>
                <c:pt idx="27">
                  <c:v>11429.381162331521</c:v>
                </c:pt>
                <c:pt idx="28">
                  <c:v>4.9112713895738125E-11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2C-794A-A554-1BBC84A9A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 (SEK)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Loan Balance Over 30 Years</a:t>
            </a:r>
          </a:p>
        </c:rich>
      </c:tx>
      <c:layout>
        <c:manualLayout>
          <c:xMode val="edge"/>
          <c:yMode val="edge"/>
          <c:x val="0.28515988362451949"/>
          <c:y val="5.97349091935419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Ending Balance</c:v>
          </c:tx>
          <c:marker>
            <c:symbol val="none"/>
          </c:marker>
          <c:cat>
            <c:numRef>
              <c:f>loan1!$A$2:$A$31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loan1!$E$2:$E$31</c:f>
              <c:numCache>
                <c:formatCode>General</c:formatCode>
                <c:ptCount val="30"/>
                <c:pt idx="0">
                  <c:v>243699.88714267858</c:v>
                </c:pt>
                <c:pt idx="1">
                  <c:v>237264.32185892473</c:v>
                </c:pt>
                <c:pt idx="2">
                  <c:v>230690.39192157018</c:v>
                </c:pt>
                <c:pt idx="3">
                  <c:v>223975.1224905625</c:v>
                </c:pt>
                <c:pt idx="4">
                  <c:v>217115.47476678816</c:v>
                </c:pt>
                <c:pt idx="5">
                  <c:v>210108.34461695267</c:v>
                </c:pt>
                <c:pt idx="6">
                  <c:v>202950.56116889571</c:v>
                </c:pt>
                <c:pt idx="7">
                  <c:v>195638.88537670553</c:v>
                </c:pt>
                <c:pt idx="8">
                  <c:v>188170.00855498324</c:v>
                </c:pt>
                <c:pt idx="9">
                  <c:v>180540.55088159395</c:v>
                </c:pt>
                <c:pt idx="10">
                  <c:v>172747.05986822679</c:v>
                </c:pt>
                <c:pt idx="11">
                  <c:v>164786.0087980722</c:v>
                </c:pt>
                <c:pt idx="12">
                  <c:v>156653.7951299093</c:v>
                </c:pt>
                <c:pt idx="13">
                  <c:v>148346.73886788089</c:v>
                </c:pt>
                <c:pt idx="14">
                  <c:v>139861.08089621889</c:v>
                </c:pt>
                <c:pt idx="15">
                  <c:v>131192.98127816615</c:v>
                </c:pt>
                <c:pt idx="16">
                  <c:v>122338.51751832526</c:v>
                </c:pt>
                <c:pt idx="17">
                  <c:v>113293.68278764778</c:v>
                </c:pt>
                <c:pt idx="18">
                  <c:v>104054.38411026074</c:v>
                </c:pt>
                <c:pt idx="19">
                  <c:v>94616.440511309862</c:v>
                </c:pt>
                <c:pt idx="20">
                  <c:v>84975.581124981545</c:v>
                </c:pt>
                <c:pt idx="21">
                  <c:v>75127.443261847162</c:v>
                </c:pt>
                <c:pt idx="22">
                  <c:v>65067.57043465539</c:v>
                </c:pt>
                <c:pt idx="23">
                  <c:v>54791.410341678973</c:v>
                </c:pt>
                <c:pt idx="24">
                  <c:v>44294.312806703572</c:v>
                </c:pt>
                <c:pt idx="25">
                  <c:v>33571.527674726181</c:v>
                </c:pt>
                <c:pt idx="26">
                  <c:v>22618.202662411262</c:v>
                </c:pt>
                <c:pt idx="27">
                  <c:v>11429.381162331521</c:v>
                </c:pt>
                <c:pt idx="28">
                  <c:v>4.9112713895738125E-11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F-B549-9E50-9500F7E5EA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 (SEK)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Loan Balance Over 30 Years</a:t>
            </a:r>
          </a:p>
        </c:rich>
      </c:tx>
      <c:layout>
        <c:manualLayout>
          <c:xMode val="edge"/>
          <c:yMode val="edge"/>
          <c:x val="0.28515988362451949"/>
          <c:y val="5.97349091935419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Ending Balance</c:v>
          </c:tx>
          <c:marker>
            <c:symbol val="none"/>
          </c:marker>
          <c:cat>
            <c:numRef>
              <c:f>loan1!$A$2:$A$31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loan1!$E$2:$E$31</c:f>
              <c:numCache>
                <c:formatCode>General</c:formatCode>
                <c:ptCount val="30"/>
                <c:pt idx="0">
                  <c:v>243699.88714267858</c:v>
                </c:pt>
                <c:pt idx="1">
                  <c:v>237264.32185892473</c:v>
                </c:pt>
                <c:pt idx="2">
                  <c:v>230690.39192157018</c:v>
                </c:pt>
                <c:pt idx="3">
                  <c:v>223975.1224905625</c:v>
                </c:pt>
                <c:pt idx="4">
                  <c:v>217115.47476678816</c:v>
                </c:pt>
                <c:pt idx="5">
                  <c:v>210108.34461695267</c:v>
                </c:pt>
                <c:pt idx="6">
                  <c:v>202950.56116889571</c:v>
                </c:pt>
                <c:pt idx="7">
                  <c:v>195638.88537670553</c:v>
                </c:pt>
                <c:pt idx="8">
                  <c:v>188170.00855498324</c:v>
                </c:pt>
                <c:pt idx="9">
                  <c:v>180540.55088159395</c:v>
                </c:pt>
                <c:pt idx="10">
                  <c:v>172747.05986822679</c:v>
                </c:pt>
                <c:pt idx="11">
                  <c:v>164786.0087980722</c:v>
                </c:pt>
                <c:pt idx="12">
                  <c:v>156653.7951299093</c:v>
                </c:pt>
                <c:pt idx="13">
                  <c:v>148346.73886788089</c:v>
                </c:pt>
                <c:pt idx="14">
                  <c:v>139861.08089621889</c:v>
                </c:pt>
                <c:pt idx="15">
                  <c:v>131192.98127816615</c:v>
                </c:pt>
                <c:pt idx="16">
                  <c:v>122338.51751832526</c:v>
                </c:pt>
                <c:pt idx="17">
                  <c:v>113293.68278764778</c:v>
                </c:pt>
                <c:pt idx="18">
                  <c:v>104054.38411026074</c:v>
                </c:pt>
                <c:pt idx="19">
                  <c:v>94616.440511309862</c:v>
                </c:pt>
                <c:pt idx="20">
                  <c:v>84975.581124981545</c:v>
                </c:pt>
                <c:pt idx="21">
                  <c:v>75127.443261847162</c:v>
                </c:pt>
                <c:pt idx="22">
                  <c:v>65067.57043465539</c:v>
                </c:pt>
                <c:pt idx="23">
                  <c:v>54791.410341678973</c:v>
                </c:pt>
                <c:pt idx="24">
                  <c:v>44294.312806703572</c:v>
                </c:pt>
                <c:pt idx="25">
                  <c:v>33571.527674726181</c:v>
                </c:pt>
                <c:pt idx="26">
                  <c:v>22618.202662411262</c:v>
                </c:pt>
                <c:pt idx="27">
                  <c:v>11429.381162331521</c:v>
                </c:pt>
                <c:pt idx="28">
                  <c:v>4.9112713895738125E-11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7E-C348-A621-C1BAE3A742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 (SEK)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summary!$D$2:$D$54</c:f>
              <c:numCache>
                <c:formatCode>#\ ##0.00\ "kr"</c:formatCode>
                <c:ptCount val="53"/>
                <c:pt idx="0">
                  <c:v>565383.73817101424</c:v>
                </c:pt>
                <c:pt idx="1">
                  <c:v>550453.22671270533</c:v>
                </c:pt>
                <c:pt idx="2">
                  <c:v>535201.70925804274</c:v>
                </c:pt>
                <c:pt idx="3">
                  <c:v>519622.28417810501</c:v>
                </c:pt>
                <c:pt idx="4">
                  <c:v>1426871.9634717752</c:v>
                </c:pt>
                <c:pt idx="5">
                  <c:v>1394676.5635639636</c:v>
                </c:pt>
                <c:pt idx="6">
                  <c:v>1361935.6000513679</c:v>
                </c:pt>
                <c:pt idx="7">
                  <c:v>1328639.1469576519</c:v>
                </c:pt>
                <c:pt idx="8">
                  <c:v>1294777.0870827746</c:v>
                </c:pt>
                <c:pt idx="9">
                  <c:v>1260339.1081645538</c:v>
                </c:pt>
                <c:pt idx="10">
                  <c:v>1225314.6989610577</c:v>
                </c:pt>
                <c:pt idx="11">
                  <c:v>1189693.1452521696</c:v>
                </c:pt>
                <c:pt idx="12">
                  <c:v>1153463.5257586204</c:v>
                </c:pt>
                <c:pt idx="13">
                  <c:v>1116614.7079767673</c:v>
                </c:pt>
                <c:pt idx="14">
                  <c:v>1079135.343927341</c:v>
                </c:pt>
                <c:pt idx="15">
                  <c:v>1041013.8658163594</c:v>
                </c:pt>
                <c:pt idx="16">
                  <c:v>1002238.4816063651</c:v>
                </c:pt>
                <c:pt idx="17">
                  <c:v>962797.17049609777</c:v>
                </c:pt>
                <c:pt idx="18">
                  <c:v>922677.6783066825</c:v>
                </c:pt>
                <c:pt idx="19">
                  <c:v>881867.51277236734</c:v>
                </c:pt>
                <c:pt idx="20">
                  <c:v>840353.93873380392</c:v>
                </c:pt>
                <c:pt idx="21">
                  <c:v>798123.97323182458</c:v>
                </c:pt>
                <c:pt idx="22">
                  <c:v>755164.38049962011</c:v>
                </c:pt>
                <c:pt idx="23">
                  <c:v>711461.66685118584</c:v>
                </c:pt>
                <c:pt idx="24">
                  <c:v>667002.07546385133</c:v>
                </c:pt>
                <c:pt idx="25">
                  <c:v>621771.58105266606</c:v>
                </c:pt>
                <c:pt idx="26">
                  <c:v>575755.88443436637</c:v>
                </c:pt>
                <c:pt idx="27">
                  <c:v>528940.40697859856</c:v>
                </c:pt>
                <c:pt idx="28">
                  <c:v>481310.28494402702</c:v>
                </c:pt>
                <c:pt idx="29">
                  <c:v>0</c:v>
                </c:pt>
                <c:pt idx="30">
                  <c:v>438300.07009690494</c:v>
                </c:pt>
                <c:pt idx="31">
                  <c:v>416397.38503614592</c:v>
                </c:pt>
                <c:pt idx="32">
                  <c:v>394225.29694913956</c:v>
                </c:pt>
                <c:pt idx="33">
                  <c:v>371780.49217866303</c:v>
                </c:pt>
                <c:pt idx="34">
                  <c:v>349059.61630950961</c:v>
                </c:pt>
                <c:pt idx="35">
                  <c:v>326059.2736671656</c:v>
                </c:pt>
                <c:pt idx="36">
                  <c:v>302776.02681032079</c:v>
                </c:pt>
                <c:pt idx="37">
                  <c:v>279206.39601713675</c:v>
                </c:pt>
                <c:pt idx="38">
                  <c:v>255346.85876519658</c:v>
                </c:pt>
                <c:pt idx="39">
                  <c:v>231193.84920505752</c:v>
                </c:pt>
                <c:pt idx="40">
                  <c:v>206743.75762732874</c:v>
                </c:pt>
                <c:pt idx="41">
                  <c:v>181992.92992319391</c:v>
                </c:pt>
                <c:pt idx="42">
                  <c:v>156937.66703829824</c:v>
                </c:pt>
                <c:pt idx="43">
                  <c:v>131574.22441991832</c:v>
                </c:pt>
                <c:pt idx="44">
                  <c:v>105898.81145733237</c:v>
                </c:pt>
                <c:pt idx="45">
                  <c:v>79907.590915306602</c:v>
                </c:pt>
                <c:pt idx="46">
                  <c:v>53596.678360613965</c:v>
                </c:pt>
                <c:pt idx="47">
                  <c:v>26962.141581498472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6E1-9F47-BB4A-41461D5CB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4676512"/>
        <c:axId val="171936"/>
      </c:lineChart>
      <c:catAx>
        <c:axId val="164467651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71936"/>
        <c:crosses val="autoZero"/>
        <c:auto val="1"/>
        <c:lblAlgn val="ctr"/>
        <c:lblOffset val="100"/>
        <c:noMultiLvlLbl val="0"/>
      </c:catAx>
      <c:valAx>
        <c:axId val="1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kr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44676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'Income &amp; Expenses'!$D$1</c:f>
              <c:strCache>
                <c:ptCount val="1"/>
                <c:pt idx="0">
                  <c:v>Savings with house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'Income &amp; Expenses'!$D$2:$D$52</c:f>
              <c:numCache>
                <c:formatCode>General</c:formatCode>
                <c:ptCount val="51"/>
                <c:pt idx="0">
                  <c:v>156649.77428535715</c:v>
                </c:pt>
                <c:pt idx="1">
                  <c:v>143085.33956911098</c:v>
                </c:pt>
                <c:pt idx="2">
                  <c:v>143223.70422271171</c:v>
                </c:pt>
                <c:pt idx="3">
                  <c:v>643365.04371636489</c:v>
                </c:pt>
                <c:pt idx="4">
                  <c:v>716215.64608618058</c:v>
                </c:pt>
                <c:pt idx="5">
                  <c:v>816363.12851224176</c:v>
                </c:pt>
                <c:pt idx="6">
                  <c:v>916513.78181046317</c:v>
                </c:pt>
                <c:pt idx="7">
                  <c:v>1016667.6741545964</c:v>
                </c:pt>
                <c:pt idx="8">
                  <c:v>1116824.8751841283</c:v>
                </c:pt>
                <c:pt idx="9">
                  <c:v>1216985.4560357954</c:v>
                </c:pt>
                <c:pt idx="10">
                  <c:v>1317149.4893757731</c:v>
                </c:pt>
                <c:pt idx="11">
                  <c:v>1417317.0494325606</c:v>
                </c:pt>
                <c:pt idx="12">
                  <c:v>1517488.2120305689</c:v>
                </c:pt>
                <c:pt idx="13">
                  <c:v>1617663.0546244343</c:v>
                </c:pt>
                <c:pt idx="14">
                  <c:v>1717841.6563340679</c:v>
                </c:pt>
                <c:pt idx="15">
                  <c:v>1818024.0979804588</c:v>
                </c:pt>
                <c:pt idx="16">
                  <c:v>1918210.4621222469</c:v>
                </c:pt>
                <c:pt idx="17">
                  <c:v>2018400.8330930835</c:v>
                </c:pt>
                <c:pt idx="18">
                  <c:v>2118595.2970397933</c:v>
                </c:pt>
                <c:pt idx="19">
                  <c:v>2218793.9419613574</c:v>
                </c:pt>
                <c:pt idx="20">
                  <c:v>2318996.8577487348</c:v>
                </c:pt>
                <c:pt idx="21">
                  <c:v>2419204.1362255407</c:v>
                </c:pt>
                <c:pt idx="22">
                  <c:v>2519415.871189598</c:v>
                </c:pt>
                <c:pt idx="23">
                  <c:v>2619632.1584553826</c:v>
                </c:pt>
                <c:pt idx="24">
                  <c:v>2719853.0958973817</c:v>
                </c:pt>
                <c:pt idx="25">
                  <c:v>2820078.7834943831</c:v>
                </c:pt>
                <c:pt idx="26">
                  <c:v>2920309.3233747208</c:v>
                </c:pt>
                <c:pt idx="27">
                  <c:v>3020544.8198624854</c:v>
                </c:pt>
                <c:pt idx="28">
                  <c:v>3120785.3795247371</c:v>
                </c:pt>
                <c:pt idx="29">
                  <c:v>3232706.2240770492</c:v>
                </c:pt>
                <c:pt idx="30">
                  <c:v>3332706.2240770492</c:v>
                </c:pt>
                <c:pt idx="31">
                  <c:v>3432706.2240770492</c:v>
                </c:pt>
                <c:pt idx="32">
                  <c:v>3532706.2240770492</c:v>
                </c:pt>
                <c:pt idx="33">
                  <c:v>3632706.2240770492</c:v>
                </c:pt>
                <c:pt idx="34">
                  <c:v>3732706.2240770492</c:v>
                </c:pt>
                <c:pt idx="35">
                  <c:v>3832706.2240770492</c:v>
                </c:pt>
                <c:pt idx="36">
                  <c:v>3932706.2240770492</c:v>
                </c:pt>
                <c:pt idx="37">
                  <c:v>4032706.2240770492</c:v>
                </c:pt>
                <c:pt idx="38">
                  <c:v>4132706.2240770492</c:v>
                </c:pt>
                <c:pt idx="39">
                  <c:v>4232706.2240770487</c:v>
                </c:pt>
                <c:pt idx="40">
                  <c:v>4332706.2240770487</c:v>
                </c:pt>
                <c:pt idx="41">
                  <c:v>4432706.2240770487</c:v>
                </c:pt>
                <c:pt idx="42">
                  <c:v>4532706.2240770487</c:v>
                </c:pt>
                <c:pt idx="43">
                  <c:v>4632706.2240770487</c:v>
                </c:pt>
                <c:pt idx="44">
                  <c:v>4732706.2240770487</c:v>
                </c:pt>
                <c:pt idx="45">
                  <c:v>4832706.2240770487</c:v>
                </c:pt>
                <c:pt idx="46">
                  <c:v>4932706.2240770487</c:v>
                </c:pt>
                <c:pt idx="47">
                  <c:v>5032706.2240770487</c:v>
                </c:pt>
                <c:pt idx="48">
                  <c:v>5132706.2240770487</c:v>
                </c:pt>
                <c:pt idx="49">
                  <c:v>5260000</c:v>
                </c:pt>
                <c:pt idx="50">
                  <c:v>5360000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7D-EE4B-98A9-1BB30819F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5200848"/>
        <c:axId val="84794928"/>
      </c:lineChart>
      <c:catAx>
        <c:axId val="1645200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84794928"/>
        <c:crosses val="autoZero"/>
        <c:auto val="1"/>
        <c:lblAlgn val="ctr"/>
        <c:lblOffset val="100"/>
        <c:noMultiLvlLbl val="0"/>
      </c:catAx>
      <c:valAx>
        <c:axId val="84794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1645200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SE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'Income &amp; Expenses'!$E$1</c:f>
              <c:strCache>
                <c:ptCount val="1"/>
                <c:pt idx="0">
                  <c:v>Savings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'Income &amp; Expenses'!$E$2:$E$52</c:f>
              <c:numCache>
                <c:formatCode>General</c:formatCode>
                <c:ptCount val="51"/>
                <c:pt idx="0">
                  <c:v>168324.88714267858</c:v>
                </c:pt>
                <c:pt idx="1">
                  <c:v>154760.4524264324</c:v>
                </c:pt>
                <c:pt idx="2">
                  <c:v>154898.81708003313</c:v>
                </c:pt>
                <c:pt idx="3">
                  <c:v>655040.15657368628</c:v>
                </c:pt>
                <c:pt idx="4">
                  <c:v>755184.53486645292</c:v>
                </c:pt>
                <c:pt idx="5">
                  <c:v>855332.01729251409</c:v>
                </c:pt>
                <c:pt idx="6">
                  <c:v>955482.67059073551</c:v>
                </c:pt>
                <c:pt idx="7">
                  <c:v>1055636.5629348687</c:v>
                </c:pt>
                <c:pt idx="8">
                  <c:v>1155793.7639644009</c:v>
                </c:pt>
                <c:pt idx="9">
                  <c:v>1255954.344816068</c:v>
                </c:pt>
                <c:pt idx="10">
                  <c:v>1356118.3781560457</c:v>
                </c:pt>
                <c:pt idx="11">
                  <c:v>1456285.9382128331</c:v>
                </c:pt>
                <c:pt idx="12">
                  <c:v>1556457.1008108414</c:v>
                </c:pt>
                <c:pt idx="13">
                  <c:v>1656631.9434047069</c:v>
                </c:pt>
                <c:pt idx="14">
                  <c:v>1756810.5451143405</c:v>
                </c:pt>
                <c:pt idx="15">
                  <c:v>1856992.9867607313</c:v>
                </c:pt>
                <c:pt idx="16">
                  <c:v>1957179.3509025194</c:v>
                </c:pt>
                <c:pt idx="17">
                  <c:v>2057369.721873356</c:v>
                </c:pt>
                <c:pt idx="18">
                  <c:v>2157564.1858200654</c:v>
                </c:pt>
                <c:pt idx="19">
                  <c:v>2257762.8307416295</c:v>
                </c:pt>
                <c:pt idx="20">
                  <c:v>2357965.7465290069</c:v>
                </c:pt>
                <c:pt idx="21">
                  <c:v>2458173.0250058128</c:v>
                </c:pt>
                <c:pt idx="22">
                  <c:v>2558384.7599698701</c:v>
                </c:pt>
                <c:pt idx="23">
                  <c:v>2658601.0472356551</c:v>
                </c:pt>
                <c:pt idx="24">
                  <c:v>2758821.9846776538</c:v>
                </c:pt>
                <c:pt idx="25">
                  <c:v>2859047.6722746557</c:v>
                </c:pt>
                <c:pt idx="26">
                  <c:v>2959278.2121549933</c:v>
                </c:pt>
                <c:pt idx="27">
                  <c:v>3059513.708642758</c:v>
                </c:pt>
                <c:pt idx="28">
                  <c:v>3159754.2683050097</c:v>
                </c:pt>
                <c:pt idx="29">
                  <c:v>3260000</c:v>
                </c:pt>
                <c:pt idx="30">
                  <c:v>3360000</c:v>
                </c:pt>
                <c:pt idx="31">
                  <c:v>3460000</c:v>
                </c:pt>
                <c:pt idx="32">
                  <c:v>3560000</c:v>
                </c:pt>
                <c:pt idx="33">
                  <c:v>3660000</c:v>
                </c:pt>
                <c:pt idx="34">
                  <c:v>3760000</c:v>
                </c:pt>
                <c:pt idx="35">
                  <c:v>3860000</c:v>
                </c:pt>
                <c:pt idx="36">
                  <c:v>3960000</c:v>
                </c:pt>
                <c:pt idx="37">
                  <c:v>4060000</c:v>
                </c:pt>
                <c:pt idx="38">
                  <c:v>4160000</c:v>
                </c:pt>
                <c:pt idx="39">
                  <c:v>4260000</c:v>
                </c:pt>
                <c:pt idx="40">
                  <c:v>4360000</c:v>
                </c:pt>
                <c:pt idx="41">
                  <c:v>4460000</c:v>
                </c:pt>
                <c:pt idx="42">
                  <c:v>4560000</c:v>
                </c:pt>
                <c:pt idx="43">
                  <c:v>4660000</c:v>
                </c:pt>
                <c:pt idx="44">
                  <c:v>4760000</c:v>
                </c:pt>
                <c:pt idx="45">
                  <c:v>4860000</c:v>
                </c:pt>
                <c:pt idx="46">
                  <c:v>4960000</c:v>
                </c:pt>
                <c:pt idx="47">
                  <c:v>5060000</c:v>
                </c:pt>
                <c:pt idx="48">
                  <c:v>5160000</c:v>
                </c:pt>
                <c:pt idx="49">
                  <c:v>5260000</c:v>
                </c:pt>
                <c:pt idx="50">
                  <c:v>5360000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00-C34A-A898-57E80292EB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98432"/>
        <c:axId val="31600144"/>
      </c:lineChart>
      <c:catAx>
        <c:axId val="315984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31600144"/>
        <c:crosses val="autoZero"/>
        <c:auto val="1"/>
        <c:lblAlgn val="ctr"/>
        <c:lblOffset val="100"/>
        <c:noMultiLvlLbl val="0"/>
      </c:catAx>
      <c:valAx>
        <c:axId val="31600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SE"/>
          </a:p>
        </c:txPr>
        <c:crossAx val="31598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S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Loan Balance Over 30 Years</a:t>
            </a:r>
          </a:p>
        </c:rich>
      </c:tx>
      <c:layout>
        <c:manualLayout>
          <c:xMode val="edge"/>
          <c:yMode val="edge"/>
          <c:x val="0.28515988362451949"/>
          <c:y val="5.97349091935419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Ending Balance</c:v>
          </c:tx>
          <c:marker>
            <c:symbol val="none"/>
          </c:marker>
          <c:cat>
            <c:numRef>
              <c:f>loan1!$A$2:$A$31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loan1!$E$2:$E$31</c:f>
              <c:numCache>
                <c:formatCode>General</c:formatCode>
                <c:ptCount val="30"/>
                <c:pt idx="0">
                  <c:v>243699.88714267858</c:v>
                </c:pt>
                <c:pt idx="1">
                  <c:v>237264.32185892473</c:v>
                </c:pt>
                <c:pt idx="2">
                  <c:v>230690.39192157018</c:v>
                </c:pt>
                <c:pt idx="3">
                  <c:v>223975.1224905625</c:v>
                </c:pt>
                <c:pt idx="4">
                  <c:v>217115.47476678816</c:v>
                </c:pt>
                <c:pt idx="5">
                  <c:v>210108.34461695267</c:v>
                </c:pt>
                <c:pt idx="6">
                  <c:v>202950.56116889571</c:v>
                </c:pt>
                <c:pt idx="7">
                  <c:v>195638.88537670553</c:v>
                </c:pt>
                <c:pt idx="8">
                  <c:v>188170.00855498324</c:v>
                </c:pt>
                <c:pt idx="9">
                  <c:v>180540.55088159395</c:v>
                </c:pt>
                <c:pt idx="10">
                  <c:v>172747.05986822679</c:v>
                </c:pt>
                <c:pt idx="11">
                  <c:v>164786.0087980722</c:v>
                </c:pt>
                <c:pt idx="12">
                  <c:v>156653.7951299093</c:v>
                </c:pt>
                <c:pt idx="13">
                  <c:v>148346.73886788089</c:v>
                </c:pt>
                <c:pt idx="14">
                  <c:v>139861.08089621889</c:v>
                </c:pt>
                <c:pt idx="15">
                  <c:v>131192.98127816615</c:v>
                </c:pt>
                <c:pt idx="16">
                  <c:v>122338.51751832526</c:v>
                </c:pt>
                <c:pt idx="17">
                  <c:v>113293.68278764778</c:v>
                </c:pt>
                <c:pt idx="18">
                  <c:v>104054.38411026074</c:v>
                </c:pt>
                <c:pt idx="19">
                  <c:v>94616.440511309862</c:v>
                </c:pt>
                <c:pt idx="20">
                  <c:v>84975.581124981545</c:v>
                </c:pt>
                <c:pt idx="21">
                  <c:v>75127.443261847162</c:v>
                </c:pt>
                <c:pt idx="22">
                  <c:v>65067.57043465539</c:v>
                </c:pt>
                <c:pt idx="23">
                  <c:v>54791.410341678973</c:v>
                </c:pt>
                <c:pt idx="24">
                  <c:v>44294.312806703572</c:v>
                </c:pt>
                <c:pt idx="25">
                  <c:v>33571.527674726181</c:v>
                </c:pt>
                <c:pt idx="26">
                  <c:v>22618.202662411262</c:v>
                </c:pt>
                <c:pt idx="27">
                  <c:v>11429.381162331521</c:v>
                </c:pt>
                <c:pt idx="28">
                  <c:v>4.9112713895738125E-11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C5-DC45-9E7E-8046C3260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 (SEK)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Loan Balance Over 30 Years</a:t>
            </a:r>
          </a:p>
        </c:rich>
      </c:tx>
      <c:layout>
        <c:manualLayout>
          <c:xMode val="edge"/>
          <c:yMode val="edge"/>
          <c:x val="0.28515988362451949"/>
          <c:y val="5.97349091935419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Ending Balance</c:v>
          </c:tx>
          <c:marker>
            <c:symbol val="none"/>
          </c:marker>
          <c:cat>
            <c:numRef>
              <c:f>loan1!$A$2:$A$31</c:f>
              <c:numCache>
                <c:formatCode>General</c:formatCode>
                <c:ptCount val="3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</c:numCache>
            </c:numRef>
          </c:cat>
          <c:val>
            <c:numRef>
              <c:f>loan1!$E$2:$E$31</c:f>
              <c:numCache>
                <c:formatCode>General</c:formatCode>
                <c:ptCount val="30"/>
                <c:pt idx="0">
                  <c:v>243699.88714267858</c:v>
                </c:pt>
                <c:pt idx="1">
                  <c:v>237264.32185892473</c:v>
                </c:pt>
                <c:pt idx="2">
                  <c:v>230690.39192157018</c:v>
                </c:pt>
                <c:pt idx="3">
                  <c:v>223975.1224905625</c:v>
                </c:pt>
                <c:pt idx="4">
                  <c:v>217115.47476678816</c:v>
                </c:pt>
                <c:pt idx="5">
                  <c:v>210108.34461695267</c:v>
                </c:pt>
                <c:pt idx="6">
                  <c:v>202950.56116889571</c:v>
                </c:pt>
                <c:pt idx="7">
                  <c:v>195638.88537670553</c:v>
                </c:pt>
                <c:pt idx="8">
                  <c:v>188170.00855498324</c:v>
                </c:pt>
                <c:pt idx="9">
                  <c:v>180540.55088159395</c:v>
                </c:pt>
                <c:pt idx="10">
                  <c:v>172747.05986822679</c:v>
                </c:pt>
                <c:pt idx="11">
                  <c:v>164786.0087980722</c:v>
                </c:pt>
                <c:pt idx="12">
                  <c:v>156653.7951299093</c:v>
                </c:pt>
                <c:pt idx="13">
                  <c:v>148346.73886788089</c:v>
                </c:pt>
                <c:pt idx="14">
                  <c:v>139861.08089621889</c:v>
                </c:pt>
                <c:pt idx="15">
                  <c:v>131192.98127816615</c:v>
                </c:pt>
                <c:pt idx="16">
                  <c:v>122338.51751832526</c:v>
                </c:pt>
                <c:pt idx="17">
                  <c:v>113293.68278764778</c:v>
                </c:pt>
                <c:pt idx="18">
                  <c:v>104054.38411026074</c:v>
                </c:pt>
                <c:pt idx="19">
                  <c:v>94616.440511309862</c:v>
                </c:pt>
                <c:pt idx="20">
                  <c:v>84975.581124981545</c:v>
                </c:pt>
                <c:pt idx="21">
                  <c:v>75127.443261847162</c:v>
                </c:pt>
                <c:pt idx="22">
                  <c:v>65067.57043465539</c:v>
                </c:pt>
                <c:pt idx="23">
                  <c:v>54791.410341678973</c:v>
                </c:pt>
                <c:pt idx="24">
                  <c:v>44294.312806703572</c:v>
                </c:pt>
                <c:pt idx="25">
                  <c:v>33571.527674726181</c:v>
                </c:pt>
                <c:pt idx="26">
                  <c:v>22618.202662411262</c:v>
                </c:pt>
                <c:pt idx="27">
                  <c:v>11429.381162331521</c:v>
                </c:pt>
                <c:pt idx="28">
                  <c:v>4.9112713895738125E-11</c:v>
                </c:pt>
                <c:pt idx="2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04C-844F-93C0-00A7833312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 (SEK)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Loan Balance Over 30 Years</a:t>
            </a:r>
          </a:p>
        </c:rich>
      </c:tx>
      <c:layout>
        <c:manualLayout>
          <c:xMode val="edge"/>
          <c:yMode val="edge"/>
          <c:x val="0.28515988362451949"/>
          <c:y val="5.973490919354197E-2"/>
        </c:manualLayout>
      </c:layout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Ending Balance</c:v>
          </c:tx>
          <c:marker>
            <c:symbol val="none"/>
          </c:marker>
          <c:cat>
            <c:numRef>
              <c:f>loan3!$A$2:$A$51</c:f>
              <c:numCache>
                <c:formatCode>General</c:formatCode>
                <c:ptCount val="5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</c:numCache>
            </c:numRef>
          </c:cat>
          <c:val>
            <c:numRef>
              <c:f>loan3!$E$2:$E$51</c:f>
              <c:numCache>
                <c:formatCode>General</c:formatCode>
                <c:ptCount val="50"/>
                <c:pt idx="0">
                  <c:v>985006.22407704906</c:v>
                </c:pt>
                <c:pt idx="1">
                  <c:v>969828.02471024578</c:v>
                </c:pt>
                <c:pt idx="2">
                  <c:v>954463.13349123078</c:v>
                </c:pt>
                <c:pt idx="3">
                  <c:v>938909.25411022198</c:v>
                </c:pt>
                <c:pt idx="4">
                  <c:v>923164.06201282667</c:v>
                </c:pt>
                <c:pt idx="5">
                  <c:v>907225.20405263349</c:v>
                </c:pt>
                <c:pt idx="6">
                  <c:v>891090.29813952988</c:v>
                </c:pt>
                <c:pt idx="7">
                  <c:v>874756.93288369512</c:v>
                </c:pt>
                <c:pt idx="8">
                  <c:v>858222.66723521356</c:v>
                </c:pt>
                <c:pt idx="9">
                  <c:v>841485.03011925577</c:v>
                </c:pt>
                <c:pt idx="10">
                  <c:v>824541.52006677166</c:v>
                </c:pt>
                <c:pt idx="11">
                  <c:v>807389.60484064196</c:v>
                </c:pt>
                <c:pt idx="12">
                  <c:v>790026.72105723084</c:v>
                </c:pt>
                <c:pt idx="13">
                  <c:v>772450.27380328381</c:v>
                </c:pt>
                <c:pt idx="14">
                  <c:v>754657.63624811324</c:v>
                </c:pt>
                <c:pt idx="15">
                  <c:v>736646.14925101399</c:v>
                </c:pt>
                <c:pt idx="16">
                  <c:v>718413.12096385052</c:v>
                </c:pt>
                <c:pt idx="17">
                  <c:v>699955.82642875495</c:v>
                </c:pt>
                <c:pt idx="18">
                  <c:v>681271.50717087765</c:v>
                </c:pt>
                <c:pt idx="19">
                  <c:v>662357.37078612845</c:v>
                </c:pt>
                <c:pt idx="20">
                  <c:v>643210.5905238468</c:v>
                </c:pt>
                <c:pt idx="21">
                  <c:v>623828.30486433918</c:v>
                </c:pt>
                <c:pt idx="22">
                  <c:v>604207.61709121964</c:v>
                </c:pt>
                <c:pt idx="23">
                  <c:v>584345.59485849063</c:v>
                </c:pt>
                <c:pt idx="24">
                  <c:v>564239.26975229906</c:v>
                </c:pt>
                <c:pt idx="25">
                  <c:v>543885.63684730139</c:v>
                </c:pt>
                <c:pt idx="26">
                  <c:v>523281.65425757226</c:v>
                </c:pt>
                <c:pt idx="27">
                  <c:v>502424.24268198939</c:v>
                </c:pt>
                <c:pt idx="28">
                  <c:v>481310.28494402691</c:v>
                </c:pt>
                <c:pt idx="29">
                  <c:v>459936.62552588747</c:v>
                </c:pt>
                <c:pt idx="30">
                  <c:v>438300.07009690494</c:v>
                </c:pt>
                <c:pt idx="31">
                  <c:v>416397.38503614592</c:v>
                </c:pt>
                <c:pt idx="32">
                  <c:v>394225.29694913956</c:v>
                </c:pt>
                <c:pt idx="33">
                  <c:v>371780.49217866303</c:v>
                </c:pt>
                <c:pt idx="34">
                  <c:v>349059.61630950961</c:v>
                </c:pt>
                <c:pt idx="35">
                  <c:v>326059.2736671656</c:v>
                </c:pt>
                <c:pt idx="36">
                  <c:v>302776.02681032079</c:v>
                </c:pt>
                <c:pt idx="37">
                  <c:v>279206.39601713675</c:v>
                </c:pt>
                <c:pt idx="38">
                  <c:v>255346.85876519658</c:v>
                </c:pt>
                <c:pt idx="39">
                  <c:v>231193.84920505752</c:v>
                </c:pt>
                <c:pt idx="40">
                  <c:v>206743.75762732874</c:v>
                </c:pt>
                <c:pt idx="41">
                  <c:v>181992.92992319391</c:v>
                </c:pt>
                <c:pt idx="42">
                  <c:v>156937.66703829824</c:v>
                </c:pt>
                <c:pt idx="43">
                  <c:v>131574.22441991832</c:v>
                </c:pt>
                <c:pt idx="44">
                  <c:v>105898.81145733237</c:v>
                </c:pt>
                <c:pt idx="45">
                  <c:v>79907.590915306602</c:v>
                </c:pt>
                <c:pt idx="46">
                  <c:v>53596.678360613965</c:v>
                </c:pt>
                <c:pt idx="47">
                  <c:v>26962.141581498472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26-264D-9EE7-91B5297F7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010001"/>
        <c:axId val="50010002"/>
      </c:line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Balance (SEK)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162302</xdr:colOff>
      <xdr:row>13</xdr:row>
      <xdr:rowOff>151539</xdr:rowOff>
    </xdr:from>
    <xdr:to>
      <xdr:col>17</xdr:col>
      <xdr:colOff>90406</xdr:colOff>
      <xdr:row>28</xdr:row>
      <xdr:rowOff>34010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162302</xdr:colOff>
      <xdr:row>13</xdr:row>
      <xdr:rowOff>151539</xdr:rowOff>
    </xdr:from>
    <xdr:to>
      <xdr:col>17</xdr:col>
      <xdr:colOff>90406</xdr:colOff>
      <xdr:row>28</xdr:row>
      <xdr:rowOff>34010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F1628A-4CCB-6148-9FFD-56F3FB7C47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162302</xdr:colOff>
      <xdr:row>13</xdr:row>
      <xdr:rowOff>151539</xdr:rowOff>
    </xdr:from>
    <xdr:to>
      <xdr:col>17</xdr:col>
      <xdr:colOff>90406</xdr:colOff>
      <xdr:row>28</xdr:row>
      <xdr:rowOff>34010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5CC994D-A933-AB40-8BCE-2FE5B43974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162302</xdr:colOff>
      <xdr:row>13</xdr:row>
      <xdr:rowOff>151539</xdr:rowOff>
    </xdr:from>
    <xdr:to>
      <xdr:col>17</xdr:col>
      <xdr:colOff>90406</xdr:colOff>
      <xdr:row>28</xdr:row>
      <xdr:rowOff>34010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8D72908-A9BF-E441-B9AE-827630E20A6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525517</xdr:colOff>
      <xdr:row>15</xdr:row>
      <xdr:rowOff>77441</xdr:rowOff>
    </xdr:from>
    <xdr:to>
      <xdr:col>19</xdr:col>
      <xdr:colOff>137948</xdr:colOff>
      <xdr:row>29</xdr:row>
      <xdr:rowOff>153641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16CA9C6-8EA1-62ED-CF64-AE3258A537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482600</xdr:colOff>
      <xdr:row>37</xdr:row>
      <xdr:rowOff>31750</xdr:rowOff>
    </xdr:from>
    <xdr:to>
      <xdr:col>18</xdr:col>
      <xdr:colOff>342900</xdr:colOff>
      <xdr:row>51</xdr:row>
      <xdr:rowOff>107950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3F9A8F5-A965-7429-8F55-50F9C91119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469900</xdr:colOff>
      <xdr:row>21</xdr:row>
      <xdr:rowOff>44450</xdr:rowOff>
    </xdr:from>
    <xdr:to>
      <xdr:col>18</xdr:col>
      <xdr:colOff>330200</xdr:colOff>
      <xdr:row>35</xdr:row>
      <xdr:rowOff>120650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C4C6F177-45E9-9660-90BB-A45A27D33F9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162302</xdr:colOff>
      <xdr:row>13</xdr:row>
      <xdr:rowOff>151539</xdr:rowOff>
    </xdr:from>
    <xdr:to>
      <xdr:col>17</xdr:col>
      <xdr:colOff>90406</xdr:colOff>
      <xdr:row>28</xdr:row>
      <xdr:rowOff>34010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8AD851D-23FC-A64E-9472-3B6A228E5B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162302</xdr:colOff>
      <xdr:row>13</xdr:row>
      <xdr:rowOff>151539</xdr:rowOff>
    </xdr:from>
    <xdr:to>
      <xdr:col>17</xdr:col>
      <xdr:colOff>90406</xdr:colOff>
      <xdr:row>28</xdr:row>
      <xdr:rowOff>34010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92C3438-3E84-D54F-A2C5-E4C8FDF55B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162302</xdr:colOff>
      <xdr:row>13</xdr:row>
      <xdr:rowOff>151539</xdr:rowOff>
    </xdr:from>
    <xdr:to>
      <xdr:col>17</xdr:col>
      <xdr:colOff>90406</xdr:colOff>
      <xdr:row>28</xdr:row>
      <xdr:rowOff>34010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E8FBC7A-A290-8649-8C99-A583EB6CEC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31"/>
  <sheetViews>
    <sheetView workbookViewId="0">
      <selection activeCell="F2" sqref="F2"/>
    </sheetView>
  </sheetViews>
  <sheetFormatPr baseColWidth="10" defaultColWidth="8.83203125" defaultRowHeight="15" x14ac:dyDescent="0.2"/>
  <cols>
    <col min="1" max="5" width="18.6640625" customWidth="1"/>
    <col min="6" max="6" width="15.6640625" customWidth="1"/>
    <col min="7" max="7" width="17" customWidth="1"/>
    <col min="8" max="8" width="13.6640625" customWidth="1"/>
    <col min="10" max="10" width="12.83203125" customWidth="1"/>
  </cols>
  <sheetData>
    <row r="1" spans="1:11" x14ac:dyDescent="0.2">
      <c r="A1" s="1" t="s">
        <v>0</v>
      </c>
      <c r="B1" s="1" t="s">
        <v>1</v>
      </c>
      <c r="C1" s="1" t="s">
        <v>10</v>
      </c>
      <c r="D1" s="1" t="s">
        <v>11</v>
      </c>
      <c r="E1" s="1" t="s">
        <v>2</v>
      </c>
      <c r="F1" s="2" t="s">
        <v>6</v>
      </c>
      <c r="G1" s="2" t="s">
        <v>12</v>
      </c>
      <c r="H1" s="2" t="s">
        <v>7</v>
      </c>
      <c r="I1" s="2" t="s">
        <v>8</v>
      </c>
      <c r="J1" s="2" t="s">
        <v>9</v>
      </c>
      <c r="K1" s="2" t="s">
        <v>13</v>
      </c>
    </row>
    <row r="2" spans="1:11" x14ac:dyDescent="0.2">
      <c r="A2">
        <v>1</v>
      </c>
      <c r="B2">
        <f>J2</f>
        <v>250000</v>
      </c>
      <c r="C2">
        <f>IF(B2*$F$2&lt;=0,0,B2*$F$2)</f>
        <v>5375</v>
      </c>
      <c r="D2">
        <f>G2-C2</f>
        <v>6300.1128573214264</v>
      </c>
      <c r="E2">
        <f>IF(B2-D2&lt;=0,0,B2-D2)</f>
        <v>243699.88714267858</v>
      </c>
      <c r="F2">
        <v>2.1499999999999998E-2</v>
      </c>
      <c r="G2">
        <f>IF(B2&lt;=0,0,B2*($F$2/(1-(1+$F$2)^(-$H$2+ROW(A2)-1))))</f>
        <v>11675.112857321426</v>
      </c>
      <c r="H2">
        <v>30</v>
      </c>
      <c r="I2">
        <v>1</v>
      </c>
      <c r="J2">
        <v>250000</v>
      </c>
      <c r="K2">
        <f>SUM(C2:C31)</f>
        <v>88578.272862322716</v>
      </c>
    </row>
    <row r="3" spans="1:11" x14ac:dyDescent="0.2">
      <c r="A3">
        <v>2</v>
      </c>
      <c r="B3">
        <f>E2</f>
        <v>243699.88714267858</v>
      </c>
      <c r="C3">
        <f t="shared" ref="C3:C31" si="0">IF(B3*$F$2&lt;=0,0,B3*$F$2)</f>
        <v>5239.5475735675891</v>
      </c>
      <c r="D3">
        <f t="shared" ref="D3:D31" si="1">G3-C3</f>
        <v>6435.565283753841</v>
      </c>
      <c r="E3">
        <f t="shared" ref="E3:E31" si="2">IF(B3-D3&lt;=0,0,B3-D3)</f>
        <v>237264.32185892473</v>
      </c>
      <c r="G3">
        <f t="shared" ref="G3:G31" si="3">IF(B3&lt;=0,0,B3*($F$2/(1-(1+$F$2)^(-$H$2+ROW(A3)-1))))</f>
        <v>11675.11285732143</v>
      </c>
    </row>
    <row r="4" spans="1:11" x14ac:dyDescent="0.2">
      <c r="A4">
        <v>3</v>
      </c>
      <c r="B4">
        <f t="shared" ref="B4:B31" si="4">E3</f>
        <v>237264.32185892473</v>
      </c>
      <c r="C4">
        <f t="shared" si="0"/>
        <v>5101.1829199668809</v>
      </c>
      <c r="D4">
        <f t="shared" si="1"/>
        <v>6573.9299373545473</v>
      </c>
      <c r="E4">
        <f t="shared" si="2"/>
        <v>230690.39192157018</v>
      </c>
      <c r="G4">
        <f t="shared" si="3"/>
        <v>11675.112857321428</v>
      </c>
    </row>
    <row r="5" spans="1:11" x14ac:dyDescent="0.2">
      <c r="A5">
        <v>4</v>
      </c>
      <c r="B5">
        <f t="shared" si="4"/>
        <v>230690.39192157018</v>
      </c>
      <c r="C5">
        <f t="shared" si="0"/>
        <v>4959.8434263137588</v>
      </c>
      <c r="D5">
        <f t="shared" si="1"/>
        <v>6715.2694310076731</v>
      </c>
      <c r="E5">
        <f t="shared" si="2"/>
        <v>223975.1224905625</v>
      </c>
      <c r="G5">
        <f t="shared" si="3"/>
        <v>11675.112857321432</v>
      </c>
    </row>
    <row r="6" spans="1:11" x14ac:dyDescent="0.2">
      <c r="A6">
        <v>5</v>
      </c>
      <c r="B6">
        <f t="shared" si="4"/>
        <v>223975.1224905625</v>
      </c>
      <c r="C6">
        <f t="shared" si="0"/>
        <v>4815.4651335470935</v>
      </c>
      <c r="D6">
        <f t="shared" si="1"/>
        <v>6859.647723774342</v>
      </c>
      <c r="E6">
        <f t="shared" si="2"/>
        <v>217115.47476678816</v>
      </c>
      <c r="G6">
        <f t="shared" si="3"/>
        <v>11675.112857321436</v>
      </c>
    </row>
    <row r="7" spans="1:11" x14ac:dyDescent="0.2">
      <c r="A7">
        <v>6</v>
      </c>
      <c r="B7">
        <f t="shared" si="4"/>
        <v>217115.47476678816</v>
      </c>
      <c r="C7">
        <f t="shared" si="0"/>
        <v>4667.982707485945</v>
      </c>
      <c r="D7">
        <f t="shared" si="1"/>
        <v>7007.1301498354906</v>
      </c>
      <c r="E7">
        <f t="shared" si="2"/>
        <v>210108.34461695267</v>
      </c>
      <c r="G7">
        <f t="shared" si="3"/>
        <v>11675.112857321436</v>
      </c>
    </row>
    <row r="8" spans="1:11" x14ac:dyDescent="0.2">
      <c r="A8">
        <v>7</v>
      </c>
      <c r="B8">
        <f t="shared" si="4"/>
        <v>210108.34461695267</v>
      </c>
      <c r="C8">
        <f t="shared" si="0"/>
        <v>4517.3294092644819</v>
      </c>
      <c r="D8">
        <f t="shared" si="1"/>
        <v>7157.7834480569536</v>
      </c>
      <c r="E8">
        <f t="shared" si="2"/>
        <v>202950.56116889571</v>
      </c>
      <c r="G8">
        <f t="shared" si="3"/>
        <v>11675.112857321436</v>
      </c>
    </row>
    <row r="9" spans="1:11" x14ac:dyDescent="0.2">
      <c r="A9">
        <v>8</v>
      </c>
      <c r="B9">
        <f t="shared" si="4"/>
        <v>202950.56116889571</v>
      </c>
      <c r="C9">
        <f t="shared" si="0"/>
        <v>4363.4370651312574</v>
      </c>
      <c r="D9">
        <f t="shared" si="1"/>
        <v>7311.6757921901835</v>
      </c>
      <c r="E9">
        <f t="shared" si="2"/>
        <v>195638.88537670553</v>
      </c>
      <c r="G9">
        <f t="shared" si="3"/>
        <v>11675.112857321441</v>
      </c>
    </row>
    <row r="10" spans="1:11" x14ac:dyDescent="0.2">
      <c r="A10">
        <v>9</v>
      </c>
      <c r="B10">
        <f t="shared" si="4"/>
        <v>195638.88537670553</v>
      </c>
      <c r="C10">
        <f t="shared" si="0"/>
        <v>4206.2360355991686</v>
      </c>
      <c r="D10">
        <f t="shared" si="1"/>
        <v>7468.8768217222705</v>
      </c>
      <c r="E10">
        <f t="shared" si="2"/>
        <v>188170.00855498324</v>
      </c>
      <c r="G10">
        <f t="shared" si="3"/>
        <v>11675.112857321439</v>
      </c>
    </row>
    <row r="11" spans="1:11" x14ac:dyDescent="0.2">
      <c r="A11">
        <v>10</v>
      </c>
      <c r="B11">
        <f t="shared" si="4"/>
        <v>188170.00855498324</v>
      </c>
      <c r="C11">
        <f t="shared" si="0"/>
        <v>4045.6551839321396</v>
      </c>
      <c r="D11">
        <f t="shared" si="1"/>
        <v>7629.4576733892991</v>
      </c>
      <c r="E11">
        <f t="shared" si="2"/>
        <v>180540.55088159395</v>
      </c>
      <c r="G11">
        <f t="shared" si="3"/>
        <v>11675.112857321439</v>
      </c>
    </row>
    <row r="12" spans="1:11" x14ac:dyDescent="0.2">
      <c r="A12">
        <v>11</v>
      </c>
      <c r="B12">
        <f t="shared" si="4"/>
        <v>180540.55088159395</v>
      </c>
      <c r="C12">
        <f t="shared" si="0"/>
        <v>3881.6218439542695</v>
      </c>
      <c r="D12">
        <f t="shared" si="1"/>
        <v>7793.4910133671765</v>
      </c>
      <c r="E12">
        <f t="shared" si="2"/>
        <v>172747.05986822679</v>
      </c>
      <c r="G12">
        <f t="shared" si="3"/>
        <v>11675.112857321446</v>
      </c>
    </row>
    <row r="13" spans="1:11" x14ac:dyDescent="0.2">
      <c r="A13">
        <v>12</v>
      </c>
      <c r="B13">
        <f t="shared" si="4"/>
        <v>172747.05986822679</v>
      </c>
      <c r="C13">
        <f t="shared" si="0"/>
        <v>3714.0617871668755</v>
      </c>
      <c r="D13">
        <f t="shared" si="1"/>
        <v>7961.0510701545745</v>
      </c>
      <c r="E13">
        <f t="shared" si="2"/>
        <v>164786.0087980722</v>
      </c>
      <c r="G13">
        <f t="shared" si="3"/>
        <v>11675.11285732145</v>
      </c>
    </row>
    <row r="14" spans="1:11" x14ac:dyDescent="0.2">
      <c r="A14">
        <v>13</v>
      </c>
      <c r="B14">
        <f t="shared" si="4"/>
        <v>164786.0087980722</v>
      </c>
      <c r="C14">
        <f t="shared" si="0"/>
        <v>3542.899189158552</v>
      </c>
      <c r="D14">
        <f t="shared" si="1"/>
        <v>8132.2136681628981</v>
      </c>
      <c r="E14">
        <f t="shared" si="2"/>
        <v>156653.7951299093</v>
      </c>
      <c r="G14">
        <f t="shared" si="3"/>
        <v>11675.11285732145</v>
      </c>
    </row>
    <row r="15" spans="1:11" x14ac:dyDescent="0.2">
      <c r="A15">
        <v>14</v>
      </c>
      <c r="B15">
        <f t="shared" si="4"/>
        <v>156653.7951299093</v>
      </c>
      <c r="C15">
        <f t="shared" si="0"/>
        <v>3368.0565952930497</v>
      </c>
      <c r="D15">
        <f t="shared" si="1"/>
        <v>8307.0562620284018</v>
      </c>
      <c r="E15">
        <f t="shared" si="2"/>
        <v>148346.73886788089</v>
      </c>
      <c r="G15">
        <f t="shared" si="3"/>
        <v>11675.112857321452</v>
      </c>
    </row>
    <row r="16" spans="1:11" x14ac:dyDescent="0.2">
      <c r="A16">
        <v>15</v>
      </c>
      <c r="B16">
        <f t="shared" si="4"/>
        <v>148346.73886788089</v>
      </c>
      <c r="C16">
        <f t="shared" si="0"/>
        <v>3189.4548856594388</v>
      </c>
      <c r="D16">
        <f t="shared" si="1"/>
        <v>8485.6579716620126</v>
      </c>
      <c r="E16">
        <f t="shared" si="2"/>
        <v>139861.08089621889</v>
      </c>
      <c r="G16">
        <f t="shared" si="3"/>
        <v>11675.112857321452</v>
      </c>
    </row>
    <row r="17" spans="1:7" x14ac:dyDescent="0.2">
      <c r="A17">
        <v>16</v>
      </c>
      <c r="B17">
        <f t="shared" si="4"/>
        <v>139861.08089621889</v>
      </c>
      <c r="C17">
        <f t="shared" si="0"/>
        <v>3007.013239268706</v>
      </c>
      <c r="D17">
        <f t="shared" si="1"/>
        <v>8668.0996180527545</v>
      </c>
      <c r="E17">
        <f t="shared" si="2"/>
        <v>131192.98127816615</v>
      </c>
      <c r="G17">
        <f t="shared" si="3"/>
        <v>11675.112857321461</v>
      </c>
    </row>
    <row r="18" spans="1:7" x14ac:dyDescent="0.2">
      <c r="A18">
        <v>17</v>
      </c>
      <c r="B18">
        <f t="shared" si="4"/>
        <v>131192.98127816615</v>
      </c>
      <c r="C18">
        <f t="shared" si="0"/>
        <v>2820.649097480572</v>
      </c>
      <c r="D18">
        <f t="shared" si="1"/>
        <v>8854.4637598408881</v>
      </c>
      <c r="E18">
        <f t="shared" si="2"/>
        <v>122338.51751832526</v>
      </c>
      <c r="G18">
        <f t="shared" si="3"/>
        <v>11675.112857321459</v>
      </c>
    </row>
    <row r="19" spans="1:7" x14ac:dyDescent="0.2">
      <c r="A19">
        <v>18</v>
      </c>
      <c r="B19">
        <f t="shared" si="4"/>
        <v>122338.51751832526</v>
      </c>
      <c r="C19">
        <f t="shared" si="0"/>
        <v>2630.2781266439929</v>
      </c>
      <c r="D19">
        <f t="shared" si="1"/>
        <v>9044.8347306774776</v>
      </c>
      <c r="E19">
        <f t="shared" si="2"/>
        <v>113293.68278764778</v>
      </c>
      <c r="G19">
        <f t="shared" si="3"/>
        <v>11675.11285732147</v>
      </c>
    </row>
    <row r="20" spans="1:7" x14ac:dyDescent="0.2">
      <c r="A20">
        <v>19</v>
      </c>
      <c r="B20">
        <f t="shared" si="4"/>
        <v>113293.68278764778</v>
      </c>
      <c r="C20">
        <f t="shared" si="0"/>
        <v>2435.8141799344271</v>
      </c>
      <c r="D20">
        <f t="shared" si="1"/>
        <v>9239.2986773870398</v>
      </c>
      <c r="E20">
        <f t="shared" si="2"/>
        <v>104054.38411026074</v>
      </c>
      <c r="G20">
        <f t="shared" si="3"/>
        <v>11675.112857321466</v>
      </c>
    </row>
    <row r="21" spans="1:7" x14ac:dyDescent="0.2">
      <c r="A21">
        <v>20</v>
      </c>
      <c r="B21">
        <f t="shared" si="4"/>
        <v>104054.38411026074</v>
      </c>
      <c r="C21">
        <f t="shared" si="0"/>
        <v>2237.1692583706058</v>
      </c>
      <c r="D21">
        <f t="shared" si="1"/>
        <v>9437.9435989508729</v>
      </c>
      <c r="E21">
        <f t="shared" si="2"/>
        <v>94616.440511309862</v>
      </c>
      <c r="G21">
        <f t="shared" si="3"/>
        <v>11675.112857321479</v>
      </c>
    </row>
    <row r="22" spans="1:7" x14ac:dyDescent="0.2">
      <c r="A22">
        <v>21</v>
      </c>
      <c r="B22">
        <f t="shared" si="4"/>
        <v>94616.440511309862</v>
      </c>
      <c r="C22">
        <f t="shared" si="0"/>
        <v>2034.253470993162</v>
      </c>
      <c r="D22">
        <f t="shared" si="1"/>
        <v>9640.8593863283168</v>
      </c>
      <c r="E22">
        <f t="shared" si="2"/>
        <v>84975.581124981545</v>
      </c>
      <c r="G22">
        <f t="shared" si="3"/>
        <v>11675.112857321479</v>
      </c>
    </row>
    <row r="23" spans="1:7" x14ac:dyDescent="0.2">
      <c r="A23">
        <v>22</v>
      </c>
      <c r="B23">
        <f t="shared" si="4"/>
        <v>84975.581124981545</v>
      </c>
      <c r="C23">
        <f t="shared" si="0"/>
        <v>1826.974994187103</v>
      </c>
      <c r="D23">
        <f t="shared" si="1"/>
        <v>9848.137863134385</v>
      </c>
      <c r="E23">
        <f t="shared" si="2"/>
        <v>75127.443261847162</v>
      </c>
      <c r="G23">
        <f t="shared" si="3"/>
        <v>11675.112857321488</v>
      </c>
    </row>
    <row r="24" spans="1:7" x14ac:dyDescent="0.2">
      <c r="A24">
        <v>23</v>
      </c>
      <c r="B24">
        <f t="shared" si="4"/>
        <v>75127.443261847162</v>
      </c>
      <c r="C24">
        <f t="shared" si="0"/>
        <v>1615.2400301297139</v>
      </c>
      <c r="D24">
        <f t="shared" si="1"/>
        <v>10059.872827191772</v>
      </c>
      <c r="E24">
        <f t="shared" si="2"/>
        <v>65067.57043465539</v>
      </c>
      <c r="G24">
        <f t="shared" si="3"/>
        <v>11675.112857321485</v>
      </c>
    </row>
    <row r="25" spans="1:7" x14ac:dyDescent="0.2">
      <c r="A25">
        <v>24</v>
      </c>
      <c r="B25">
        <f t="shared" si="4"/>
        <v>65067.57043465539</v>
      </c>
      <c r="C25">
        <f t="shared" si="0"/>
        <v>1398.9527643450908</v>
      </c>
      <c r="D25">
        <f t="shared" si="1"/>
        <v>10276.160092976419</v>
      </c>
      <c r="E25">
        <f t="shared" si="2"/>
        <v>54791.410341678973</v>
      </c>
      <c r="G25">
        <f t="shared" si="3"/>
        <v>11675.11285732151</v>
      </c>
    </row>
    <row r="26" spans="1:7" x14ac:dyDescent="0.2">
      <c r="A26">
        <v>25</v>
      </c>
      <c r="B26">
        <f t="shared" si="4"/>
        <v>54791.410341678973</v>
      </c>
      <c r="C26">
        <f t="shared" si="0"/>
        <v>1178.0153223460977</v>
      </c>
      <c r="D26">
        <f t="shared" si="1"/>
        <v>10497.097534975399</v>
      </c>
      <c r="E26">
        <f t="shared" si="2"/>
        <v>44294.312806703572</v>
      </c>
      <c r="G26">
        <f t="shared" si="3"/>
        <v>11675.112857321497</v>
      </c>
    </row>
    <row r="27" spans="1:7" x14ac:dyDescent="0.2">
      <c r="A27">
        <v>26</v>
      </c>
      <c r="B27">
        <f t="shared" si="4"/>
        <v>44294.312806703572</v>
      </c>
      <c r="C27">
        <f t="shared" si="0"/>
        <v>952.32772534412675</v>
      </c>
      <c r="D27">
        <f t="shared" si="1"/>
        <v>10722.785131977389</v>
      </c>
      <c r="E27">
        <f t="shared" si="2"/>
        <v>33571.527674726181</v>
      </c>
      <c r="G27">
        <f t="shared" si="3"/>
        <v>11675.112857321516</v>
      </c>
    </row>
    <row r="28" spans="1:7" x14ac:dyDescent="0.2">
      <c r="A28">
        <v>27</v>
      </c>
      <c r="B28">
        <f t="shared" si="4"/>
        <v>33571.527674726181</v>
      </c>
      <c r="C28">
        <f t="shared" si="0"/>
        <v>721.78784500661288</v>
      </c>
      <c r="D28">
        <f t="shared" si="1"/>
        <v>10953.325012314917</v>
      </c>
      <c r="E28">
        <f t="shared" si="2"/>
        <v>22618.202662411262</v>
      </c>
      <c r="G28">
        <f t="shared" si="3"/>
        <v>11675.11285732153</v>
      </c>
    </row>
    <row r="29" spans="1:7" x14ac:dyDescent="0.2">
      <c r="A29">
        <v>28</v>
      </c>
      <c r="B29">
        <f t="shared" si="4"/>
        <v>22618.202662411262</v>
      </c>
      <c r="C29">
        <f t="shared" si="0"/>
        <v>486.29135724184209</v>
      </c>
      <c r="D29">
        <f t="shared" si="1"/>
        <v>11188.821500079741</v>
      </c>
      <c r="E29">
        <f t="shared" si="2"/>
        <v>11429.381162331521</v>
      </c>
      <c r="G29">
        <f t="shared" si="3"/>
        <v>11675.112857321583</v>
      </c>
    </row>
    <row r="30" spans="1:7" x14ac:dyDescent="0.2">
      <c r="A30">
        <v>29</v>
      </c>
      <c r="B30">
        <f t="shared" si="4"/>
        <v>11429.381162331521</v>
      </c>
      <c r="C30">
        <f t="shared" si="0"/>
        <v>245.73169499012769</v>
      </c>
      <c r="D30">
        <f t="shared" si="1"/>
        <v>11429.381162331472</v>
      </c>
      <c r="E30">
        <f t="shared" si="2"/>
        <v>4.9112713895738125E-11</v>
      </c>
      <c r="G30">
        <f t="shared" si="3"/>
        <v>11675.112857321599</v>
      </c>
    </row>
    <row r="31" spans="1:7" x14ac:dyDescent="0.2">
      <c r="A31">
        <v>30</v>
      </c>
      <c r="B31">
        <f t="shared" si="4"/>
        <v>4.9112713895738125E-11</v>
      </c>
      <c r="C31">
        <f t="shared" si="0"/>
        <v>1.0559233487583695E-12</v>
      </c>
      <c r="D31" t="e">
        <f t="shared" si="1"/>
        <v>#DIV/0!</v>
      </c>
      <c r="E31" t="e">
        <f t="shared" si="2"/>
        <v>#DIV/0!</v>
      </c>
      <c r="G31" t="e">
        <f t="shared" si="3"/>
        <v>#DIV/0!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32589-6A04-5F4A-AF88-715E04F5DE2D}">
  <sheetPr codeName="Sheet2"/>
  <dimension ref="A1:K31"/>
  <sheetViews>
    <sheetView tabSelected="1" workbookViewId="0">
      <selection activeCell="J5" sqref="J5"/>
    </sheetView>
  </sheetViews>
  <sheetFormatPr baseColWidth="10" defaultRowHeight="15" x14ac:dyDescent="0.2"/>
  <sheetData>
    <row r="1" spans="1:11" x14ac:dyDescent="0.2">
      <c r="A1" s="1" t="s">
        <v>0</v>
      </c>
      <c r="B1" s="1" t="s">
        <v>1</v>
      </c>
      <c r="C1" s="1" t="s">
        <v>10</v>
      </c>
      <c r="D1" s="1" t="s">
        <v>11</v>
      </c>
      <c r="E1" s="1" t="s">
        <v>2</v>
      </c>
      <c r="F1" s="2" t="s">
        <v>6</v>
      </c>
      <c r="G1" s="2" t="s">
        <v>12</v>
      </c>
      <c r="H1" s="2" t="s">
        <v>7</v>
      </c>
      <c r="I1" s="2" t="s">
        <v>8</v>
      </c>
      <c r="J1" s="2" t="s">
        <v>9</v>
      </c>
      <c r="K1" s="2" t="s">
        <v>13</v>
      </c>
    </row>
    <row r="2" spans="1:11" x14ac:dyDescent="0.2">
      <c r="A2">
        <v>1</v>
      </c>
      <c r="B2">
        <f>J2</f>
        <v>330000</v>
      </c>
      <c r="C2">
        <f>IF(B2*$F$2&lt;=0,0,B2*$F$2)</f>
        <v>7094.9999999999991</v>
      </c>
      <c r="D2">
        <f>G2-C2</f>
        <v>8316.1489716642864</v>
      </c>
      <c r="E2">
        <f>IF(B2-D2&lt;=0,0,B2-D2)</f>
        <v>321683.85102833569</v>
      </c>
      <c r="F2">
        <v>2.1499999999999998E-2</v>
      </c>
      <c r="G2">
        <f>IF(B2&lt;=0,0,B2*($F$2/(1-(1+$F$2)^(-$H$2+ROW(A2)-1))))</f>
        <v>15411.148971664285</v>
      </c>
      <c r="H2">
        <v>30</v>
      </c>
      <c r="I2">
        <v>1</v>
      </c>
      <c r="J2">
        <v>330000</v>
      </c>
      <c r="K2">
        <f>SUM(C2:C31)</f>
        <v>116923.3201782659</v>
      </c>
    </row>
    <row r="3" spans="1:11" x14ac:dyDescent="0.2">
      <c r="A3">
        <v>2</v>
      </c>
      <c r="B3">
        <f>E2</f>
        <v>321683.85102833569</v>
      </c>
      <c r="C3">
        <f t="shared" ref="C3:C31" si="0">IF(B3*$F$2&lt;=0,0,B3*$F$2)</f>
        <v>6916.2027971092166</v>
      </c>
      <c r="D3">
        <f t="shared" ref="D3:D31" si="1">G3-C3</f>
        <v>8494.9461745550689</v>
      </c>
      <c r="E3">
        <f t="shared" ref="E3:E31" si="2">IF(B3-D3&lt;=0,0,B3-D3)</f>
        <v>313188.90485378064</v>
      </c>
      <c r="G3">
        <f t="shared" ref="G3:G31" si="3">IF(B3&lt;=0,0,B3*($F$2/(1-(1+$F$2)^(-$H$2+ROW(A3)-1))))</f>
        <v>15411.148971664286</v>
      </c>
    </row>
    <row r="4" spans="1:11" x14ac:dyDescent="0.2">
      <c r="A4">
        <v>3</v>
      </c>
      <c r="B4">
        <f t="shared" ref="B4:B31" si="4">E3</f>
        <v>313188.90485378064</v>
      </c>
      <c r="C4">
        <f t="shared" si="0"/>
        <v>6733.5614543562833</v>
      </c>
      <c r="D4">
        <f t="shared" si="1"/>
        <v>8677.5875173080021</v>
      </c>
      <c r="E4">
        <f t="shared" si="2"/>
        <v>304511.31733647262</v>
      </c>
      <c r="G4">
        <f t="shared" si="3"/>
        <v>15411.148971664286</v>
      </c>
    </row>
    <row r="5" spans="1:11" x14ac:dyDescent="0.2">
      <c r="A5">
        <v>4</v>
      </c>
      <c r="B5">
        <f t="shared" si="4"/>
        <v>304511.31733647262</v>
      </c>
      <c r="C5">
        <f t="shared" si="0"/>
        <v>6546.9933227341608</v>
      </c>
      <c r="D5">
        <f t="shared" si="1"/>
        <v>8864.1556489301292</v>
      </c>
      <c r="E5">
        <f t="shared" si="2"/>
        <v>295647.16168754251</v>
      </c>
      <c r="G5">
        <f t="shared" si="3"/>
        <v>15411.14897166429</v>
      </c>
    </row>
    <row r="6" spans="1:11" x14ac:dyDescent="0.2">
      <c r="A6">
        <v>5</v>
      </c>
      <c r="B6">
        <f t="shared" si="4"/>
        <v>295647.16168754251</v>
      </c>
      <c r="C6">
        <f t="shared" si="0"/>
        <v>6356.4139762821633</v>
      </c>
      <c r="D6">
        <f t="shared" si="1"/>
        <v>9054.7349953821322</v>
      </c>
      <c r="E6">
        <f t="shared" si="2"/>
        <v>286592.42669216037</v>
      </c>
      <c r="G6">
        <f t="shared" si="3"/>
        <v>15411.148971664295</v>
      </c>
    </row>
    <row r="7" spans="1:11" x14ac:dyDescent="0.2">
      <c r="A7">
        <v>6</v>
      </c>
      <c r="B7">
        <f t="shared" si="4"/>
        <v>286592.42669216037</v>
      </c>
      <c r="C7">
        <f t="shared" si="0"/>
        <v>6161.7371738814472</v>
      </c>
      <c r="D7">
        <f t="shared" si="1"/>
        <v>9249.4117977828464</v>
      </c>
      <c r="E7">
        <f t="shared" si="2"/>
        <v>277343.0148943775</v>
      </c>
      <c r="G7">
        <f t="shared" si="3"/>
        <v>15411.148971664294</v>
      </c>
    </row>
    <row r="8" spans="1:11" x14ac:dyDescent="0.2">
      <c r="A8">
        <v>7</v>
      </c>
      <c r="B8">
        <f t="shared" si="4"/>
        <v>277343.0148943775</v>
      </c>
      <c r="C8">
        <f t="shared" si="0"/>
        <v>5962.8748202291154</v>
      </c>
      <c r="D8">
        <f t="shared" si="1"/>
        <v>9448.2741514351765</v>
      </c>
      <c r="E8">
        <f t="shared" si="2"/>
        <v>267894.74074294232</v>
      </c>
      <c r="G8">
        <f t="shared" si="3"/>
        <v>15411.148971664292</v>
      </c>
    </row>
    <row r="9" spans="1:11" x14ac:dyDescent="0.2">
      <c r="A9">
        <v>8</v>
      </c>
      <c r="B9">
        <f t="shared" si="4"/>
        <v>267894.74074294232</v>
      </c>
      <c r="C9">
        <f t="shared" si="0"/>
        <v>5759.7369259732595</v>
      </c>
      <c r="D9">
        <f t="shared" si="1"/>
        <v>9651.4120456910423</v>
      </c>
      <c r="E9">
        <f t="shared" si="2"/>
        <v>258243.32869725127</v>
      </c>
      <c r="G9">
        <f t="shared" si="3"/>
        <v>15411.148971664301</v>
      </c>
    </row>
    <row r="10" spans="1:11" x14ac:dyDescent="0.2">
      <c r="A10">
        <v>9</v>
      </c>
      <c r="B10">
        <f t="shared" si="4"/>
        <v>258243.32869725127</v>
      </c>
      <c r="C10">
        <f t="shared" si="0"/>
        <v>5552.2315669909021</v>
      </c>
      <c r="D10">
        <f t="shared" si="1"/>
        <v>9858.917404673397</v>
      </c>
      <c r="E10">
        <f t="shared" si="2"/>
        <v>248384.41129257786</v>
      </c>
      <c r="G10">
        <f t="shared" si="3"/>
        <v>15411.148971664299</v>
      </c>
    </row>
    <row r="11" spans="1:11" x14ac:dyDescent="0.2">
      <c r="A11">
        <v>10</v>
      </c>
      <c r="B11">
        <f t="shared" si="4"/>
        <v>248384.41129257786</v>
      </c>
      <c r="C11">
        <f t="shared" si="0"/>
        <v>5340.2648427904232</v>
      </c>
      <c r="D11">
        <f t="shared" si="1"/>
        <v>10070.884128873873</v>
      </c>
      <c r="E11">
        <f t="shared" si="2"/>
        <v>238313.52716370398</v>
      </c>
      <c r="G11">
        <f t="shared" si="3"/>
        <v>15411.148971664297</v>
      </c>
    </row>
    <row r="12" spans="1:11" x14ac:dyDescent="0.2">
      <c r="A12">
        <v>11</v>
      </c>
      <c r="B12">
        <f t="shared" si="4"/>
        <v>238313.52716370398</v>
      </c>
      <c r="C12">
        <f t="shared" si="0"/>
        <v>5123.7408340196353</v>
      </c>
      <c r="D12">
        <f t="shared" si="1"/>
        <v>10287.40813764467</v>
      </c>
      <c r="E12">
        <f t="shared" si="2"/>
        <v>228026.11902605931</v>
      </c>
      <c r="G12">
        <f t="shared" si="3"/>
        <v>15411.148971664306</v>
      </c>
    </row>
    <row r="13" spans="1:11" x14ac:dyDescent="0.2">
      <c r="A13">
        <v>12</v>
      </c>
      <c r="B13">
        <f t="shared" si="4"/>
        <v>228026.11902605931</v>
      </c>
      <c r="C13">
        <f t="shared" si="0"/>
        <v>4902.5615590602747</v>
      </c>
      <c r="D13">
        <f t="shared" si="1"/>
        <v>10508.587412604036</v>
      </c>
      <c r="E13">
        <f t="shared" si="2"/>
        <v>217517.53161345527</v>
      </c>
      <c r="G13">
        <f t="shared" si="3"/>
        <v>15411.14897166431</v>
      </c>
    </row>
    <row r="14" spans="1:11" x14ac:dyDescent="0.2">
      <c r="A14">
        <v>13</v>
      </c>
      <c r="B14">
        <f t="shared" si="4"/>
        <v>217517.53161345527</v>
      </c>
      <c r="C14">
        <f t="shared" si="0"/>
        <v>4676.6269296892879</v>
      </c>
      <c r="D14">
        <f t="shared" si="1"/>
        <v>10734.522041975024</v>
      </c>
      <c r="E14">
        <f t="shared" si="2"/>
        <v>206783.00957148024</v>
      </c>
      <c r="G14">
        <f t="shared" si="3"/>
        <v>15411.148971664312</v>
      </c>
    </row>
    <row r="15" spans="1:11" x14ac:dyDescent="0.2">
      <c r="A15">
        <v>14</v>
      </c>
      <c r="B15">
        <f t="shared" si="4"/>
        <v>206783.00957148024</v>
      </c>
      <c r="C15">
        <f t="shared" si="0"/>
        <v>4445.834705786825</v>
      </c>
      <c r="D15">
        <f t="shared" si="1"/>
        <v>10965.314265877489</v>
      </c>
      <c r="E15">
        <f t="shared" si="2"/>
        <v>195817.69530560274</v>
      </c>
      <c r="G15">
        <f t="shared" si="3"/>
        <v>15411.148971664314</v>
      </c>
    </row>
    <row r="16" spans="1:11" x14ac:dyDescent="0.2">
      <c r="A16">
        <v>15</v>
      </c>
      <c r="B16">
        <f t="shared" si="4"/>
        <v>195817.69530560274</v>
      </c>
      <c r="C16">
        <f t="shared" si="0"/>
        <v>4210.0804490704586</v>
      </c>
      <c r="D16">
        <f t="shared" si="1"/>
        <v>11201.068522593854</v>
      </c>
      <c r="E16">
        <f t="shared" si="2"/>
        <v>184616.62678300889</v>
      </c>
      <c r="G16">
        <f t="shared" si="3"/>
        <v>15411.148971664312</v>
      </c>
    </row>
    <row r="17" spans="1:7" x14ac:dyDescent="0.2">
      <c r="A17">
        <v>16</v>
      </c>
      <c r="B17">
        <f t="shared" si="4"/>
        <v>184616.62678300889</v>
      </c>
      <c r="C17">
        <f t="shared" si="0"/>
        <v>3969.2574758346909</v>
      </c>
      <c r="D17">
        <f t="shared" si="1"/>
        <v>11441.891495829634</v>
      </c>
      <c r="E17">
        <f t="shared" si="2"/>
        <v>173174.73528717927</v>
      </c>
      <c r="G17">
        <f t="shared" si="3"/>
        <v>15411.148971664325</v>
      </c>
    </row>
    <row r="18" spans="1:7" x14ac:dyDescent="0.2">
      <c r="A18">
        <v>17</v>
      </c>
      <c r="B18">
        <f t="shared" si="4"/>
        <v>173174.73528717927</v>
      </c>
      <c r="C18">
        <f t="shared" si="0"/>
        <v>3723.256808674354</v>
      </c>
      <c r="D18">
        <f t="shared" si="1"/>
        <v>11687.892162989967</v>
      </c>
      <c r="E18">
        <f t="shared" si="2"/>
        <v>161486.8431241893</v>
      </c>
      <c r="G18">
        <f t="shared" si="3"/>
        <v>15411.148971664321</v>
      </c>
    </row>
    <row r="19" spans="1:7" x14ac:dyDescent="0.2">
      <c r="A19">
        <v>18</v>
      </c>
      <c r="B19">
        <f t="shared" si="4"/>
        <v>161486.8431241893</v>
      </c>
      <c r="C19">
        <f t="shared" si="0"/>
        <v>3471.9671271700695</v>
      </c>
      <c r="D19">
        <f t="shared" si="1"/>
        <v>11939.181844494267</v>
      </c>
      <c r="E19">
        <f t="shared" si="2"/>
        <v>149547.66127969502</v>
      </c>
      <c r="G19">
        <f t="shared" si="3"/>
        <v>15411.148971664337</v>
      </c>
    </row>
    <row r="20" spans="1:7" x14ac:dyDescent="0.2">
      <c r="A20">
        <v>19</v>
      </c>
      <c r="B20">
        <f t="shared" si="4"/>
        <v>149547.66127969502</v>
      </c>
      <c r="C20">
        <f t="shared" si="0"/>
        <v>3215.2747175134427</v>
      </c>
      <c r="D20">
        <f t="shared" si="1"/>
        <v>12195.874254150889</v>
      </c>
      <c r="E20">
        <f t="shared" si="2"/>
        <v>137351.78702554412</v>
      </c>
      <c r="G20">
        <f t="shared" si="3"/>
        <v>15411.148971664332</v>
      </c>
    </row>
    <row r="21" spans="1:7" x14ac:dyDescent="0.2">
      <c r="A21">
        <v>20</v>
      </c>
      <c r="B21">
        <f t="shared" si="4"/>
        <v>137351.78702554412</v>
      </c>
      <c r="C21">
        <f t="shared" si="0"/>
        <v>2953.0634210491985</v>
      </c>
      <c r="D21">
        <f t="shared" si="1"/>
        <v>12458.085550615147</v>
      </c>
      <c r="E21">
        <f t="shared" si="2"/>
        <v>124893.70147492898</v>
      </c>
      <c r="G21">
        <f t="shared" si="3"/>
        <v>15411.148971664346</v>
      </c>
    </row>
    <row r="22" spans="1:7" x14ac:dyDescent="0.2">
      <c r="A22">
        <v>21</v>
      </c>
      <c r="B22">
        <f t="shared" si="4"/>
        <v>124893.70147492898</v>
      </c>
      <c r="C22">
        <f t="shared" si="0"/>
        <v>2685.2145817109727</v>
      </c>
      <c r="D22">
        <f t="shared" si="1"/>
        <v>12725.934389953376</v>
      </c>
      <c r="E22">
        <f t="shared" si="2"/>
        <v>112167.76708497561</v>
      </c>
      <c r="G22">
        <f t="shared" si="3"/>
        <v>15411.148971664348</v>
      </c>
    </row>
    <row r="23" spans="1:7" x14ac:dyDescent="0.2">
      <c r="A23">
        <v>22</v>
      </c>
      <c r="B23">
        <f t="shared" si="4"/>
        <v>112167.76708497561</v>
      </c>
      <c r="C23">
        <f t="shared" si="0"/>
        <v>2411.6069923269756</v>
      </c>
      <c r="D23">
        <f t="shared" si="1"/>
        <v>12999.541979337386</v>
      </c>
      <c r="E23">
        <f t="shared" si="2"/>
        <v>99168.225105638223</v>
      </c>
      <c r="G23">
        <f t="shared" si="3"/>
        <v>15411.148971664361</v>
      </c>
    </row>
    <row r="24" spans="1:7" x14ac:dyDescent="0.2">
      <c r="A24">
        <v>23</v>
      </c>
      <c r="B24">
        <f t="shared" si="4"/>
        <v>99168.225105638223</v>
      </c>
      <c r="C24">
        <f t="shared" si="0"/>
        <v>2132.1168397712217</v>
      </c>
      <c r="D24">
        <f t="shared" si="1"/>
        <v>13279.032131893135</v>
      </c>
      <c r="E24">
        <f t="shared" si="2"/>
        <v>85889.192973745085</v>
      </c>
      <c r="G24">
        <f t="shared" si="3"/>
        <v>15411.148971664355</v>
      </c>
    </row>
    <row r="25" spans="1:7" x14ac:dyDescent="0.2">
      <c r="A25">
        <v>24</v>
      </c>
      <c r="B25">
        <f t="shared" si="4"/>
        <v>85889.192973745085</v>
      </c>
      <c r="C25">
        <f t="shared" si="0"/>
        <v>1846.6176489355191</v>
      </c>
      <c r="D25">
        <f t="shared" si="1"/>
        <v>13564.531322728868</v>
      </c>
      <c r="E25">
        <f t="shared" si="2"/>
        <v>72324.661651016213</v>
      </c>
      <c r="G25">
        <f t="shared" si="3"/>
        <v>15411.148971664386</v>
      </c>
    </row>
    <row r="26" spans="1:7" x14ac:dyDescent="0.2">
      <c r="A26">
        <v>25</v>
      </c>
      <c r="B26">
        <f t="shared" si="4"/>
        <v>72324.661651016213</v>
      </c>
      <c r="C26">
        <f t="shared" si="0"/>
        <v>1554.9802254968486</v>
      </c>
      <c r="D26">
        <f t="shared" si="1"/>
        <v>13856.168746167521</v>
      </c>
      <c r="E26">
        <f t="shared" si="2"/>
        <v>58468.492904848696</v>
      </c>
      <c r="G26">
        <f t="shared" si="3"/>
        <v>15411.14897166437</v>
      </c>
    </row>
    <row r="27" spans="1:7" x14ac:dyDescent="0.2">
      <c r="A27">
        <v>26</v>
      </c>
      <c r="B27">
        <f t="shared" si="4"/>
        <v>58468.492904848696</v>
      </c>
      <c r="C27">
        <f t="shared" si="0"/>
        <v>1257.0725974542468</v>
      </c>
      <c r="D27">
        <f t="shared" si="1"/>
        <v>14154.076374210148</v>
      </c>
      <c r="E27">
        <f t="shared" si="2"/>
        <v>44314.416530638548</v>
      </c>
      <c r="G27">
        <f t="shared" si="3"/>
        <v>15411.148971664396</v>
      </c>
    </row>
    <row r="28" spans="1:7" x14ac:dyDescent="0.2">
      <c r="A28">
        <v>27</v>
      </c>
      <c r="B28">
        <f t="shared" si="4"/>
        <v>44314.416530638548</v>
      </c>
      <c r="C28">
        <f t="shared" si="0"/>
        <v>952.75995540872873</v>
      </c>
      <c r="D28">
        <f t="shared" si="1"/>
        <v>14458.389016255685</v>
      </c>
      <c r="E28">
        <f t="shared" si="2"/>
        <v>29856.027514382862</v>
      </c>
      <c r="G28">
        <f t="shared" si="3"/>
        <v>15411.148971664414</v>
      </c>
    </row>
    <row r="29" spans="1:7" x14ac:dyDescent="0.2">
      <c r="A29">
        <v>28</v>
      </c>
      <c r="B29">
        <f t="shared" si="4"/>
        <v>29856.027514382862</v>
      </c>
      <c r="C29">
        <f t="shared" si="0"/>
        <v>641.90459155923145</v>
      </c>
      <c r="D29">
        <f t="shared" si="1"/>
        <v>14769.244380105258</v>
      </c>
      <c r="E29">
        <f t="shared" si="2"/>
        <v>15086.783134277604</v>
      </c>
      <c r="G29">
        <f t="shared" si="3"/>
        <v>15411.148971664488</v>
      </c>
    </row>
    <row r="30" spans="1:7" x14ac:dyDescent="0.2">
      <c r="A30">
        <v>29</v>
      </c>
      <c r="B30">
        <f t="shared" si="4"/>
        <v>15086.783134277604</v>
      </c>
      <c r="C30">
        <f t="shared" si="0"/>
        <v>324.36583738696845</v>
      </c>
      <c r="D30">
        <f t="shared" si="1"/>
        <v>15086.783134277539</v>
      </c>
      <c r="E30">
        <f t="shared" si="2"/>
        <v>6.5483618527650833E-11</v>
      </c>
      <c r="G30">
        <f t="shared" si="3"/>
        <v>15411.148971664506</v>
      </c>
    </row>
    <row r="31" spans="1:7" x14ac:dyDescent="0.2">
      <c r="A31">
        <v>30</v>
      </c>
      <c r="B31">
        <f t="shared" si="4"/>
        <v>6.5483618527650833E-11</v>
      </c>
      <c r="C31">
        <f t="shared" si="0"/>
        <v>1.4078977983444927E-12</v>
      </c>
      <c r="D31" t="e">
        <f t="shared" si="1"/>
        <v>#DIV/0!</v>
      </c>
      <c r="E31" t="e">
        <f t="shared" si="2"/>
        <v>#DIV/0!</v>
      </c>
      <c r="G31" t="e">
        <f t="shared" si="3"/>
        <v>#DIV/0!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FA116-18CF-5240-85C2-C767FE9C8D48}">
  <dimension ref="A1:E54"/>
  <sheetViews>
    <sheetView zoomScale="87" workbookViewId="0">
      <selection activeCell="B3" sqref="B3"/>
    </sheetView>
  </sheetViews>
  <sheetFormatPr baseColWidth="10" defaultRowHeight="15" x14ac:dyDescent="0.2"/>
  <cols>
    <col min="4" max="4" width="13.1640625" style="4" bestFit="1" customWidth="1"/>
  </cols>
  <sheetData>
    <row r="1" spans="1:5" x14ac:dyDescent="0.2">
      <c r="A1" s="5" t="s">
        <v>14</v>
      </c>
      <c r="B1" s="5" t="s">
        <v>16</v>
      </c>
      <c r="C1" s="5" t="s">
        <v>17</v>
      </c>
      <c r="D1" s="5" t="s">
        <v>15</v>
      </c>
      <c r="E1" s="5" t="s">
        <v>18</v>
      </c>
    </row>
    <row r="2" spans="1:5" x14ac:dyDescent="0.2">
      <c r="A2" s="6">
        <v>1</v>
      </c>
      <c r="B2">
        <f>loan1!E2</f>
        <v>243699.88714267858</v>
      </c>
      <c r="C2">
        <f>loan2!E2</f>
        <v>321683.85102833569</v>
      </c>
      <c r="D2" s="4">
        <f>IF(A3&lt;=5,B2+C2,B2+C2+E6)</f>
        <v>565383.73817101424</v>
      </c>
    </row>
    <row r="3" spans="1:5" x14ac:dyDescent="0.2">
      <c r="A3" s="6">
        <f>A2+1</f>
        <v>2</v>
      </c>
      <c r="B3">
        <f>loan1!E3</f>
        <v>237264.32185892473</v>
      </c>
      <c r="C3">
        <f>loan2!E3</f>
        <v>313188.90485378064</v>
      </c>
      <c r="D3" s="4">
        <f t="shared" ref="D3:D54" si="0">IF(A4&lt;=5,B3+C3,B3+C3+E7)</f>
        <v>550453.22671270533</v>
      </c>
    </row>
    <row r="4" spans="1:5" x14ac:dyDescent="0.2">
      <c r="A4" s="6">
        <f t="shared" ref="A4:A54" si="1">A3+1</f>
        <v>3</v>
      </c>
      <c r="B4">
        <f>loan1!E4</f>
        <v>230690.39192157018</v>
      </c>
      <c r="C4">
        <f>loan2!E4</f>
        <v>304511.31733647262</v>
      </c>
      <c r="D4" s="4">
        <f t="shared" si="0"/>
        <v>535201.70925804274</v>
      </c>
    </row>
    <row r="5" spans="1:5" x14ac:dyDescent="0.2">
      <c r="A5" s="6">
        <f t="shared" si="1"/>
        <v>4</v>
      </c>
      <c r="B5">
        <f>loan1!E5</f>
        <v>223975.1224905625</v>
      </c>
      <c r="C5">
        <f>loan2!E5</f>
        <v>295647.16168754251</v>
      </c>
      <c r="D5" s="4">
        <f t="shared" si="0"/>
        <v>519622.28417810501</v>
      </c>
    </row>
    <row r="6" spans="1:5" x14ac:dyDescent="0.2">
      <c r="A6" s="6">
        <f t="shared" si="1"/>
        <v>5</v>
      </c>
      <c r="B6">
        <f>loan1!E6</f>
        <v>217115.47476678816</v>
      </c>
      <c r="C6">
        <f>loan2!E6</f>
        <v>286592.42669216037</v>
      </c>
      <c r="D6" s="4">
        <f t="shared" si="0"/>
        <v>1426871.9634717752</v>
      </c>
      <c r="E6">
        <f>loan3!E2</f>
        <v>985006.22407704906</v>
      </c>
    </row>
    <row r="7" spans="1:5" x14ac:dyDescent="0.2">
      <c r="A7" s="6">
        <f t="shared" si="1"/>
        <v>6</v>
      </c>
      <c r="B7">
        <f>loan1!E7</f>
        <v>210108.34461695267</v>
      </c>
      <c r="C7">
        <f>loan2!E7</f>
        <v>277343.0148943775</v>
      </c>
      <c r="D7" s="4">
        <f t="shared" si="0"/>
        <v>1394676.5635639636</v>
      </c>
      <c r="E7">
        <f>loan3!E3</f>
        <v>969828.02471024578</v>
      </c>
    </row>
    <row r="8" spans="1:5" x14ac:dyDescent="0.2">
      <c r="A8" s="6">
        <f t="shared" si="1"/>
        <v>7</v>
      </c>
      <c r="B8">
        <f>loan1!E8</f>
        <v>202950.56116889571</v>
      </c>
      <c r="C8">
        <f>loan2!E8</f>
        <v>267894.74074294232</v>
      </c>
      <c r="D8" s="4">
        <f t="shared" si="0"/>
        <v>1361935.6000513679</v>
      </c>
      <c r="E8">
        <f>loan3!E4</f>
        <v>954463.13349123078</v>
      </c>
    </row>
    <row r="9" spans="1:5" x14ac:dyDescent="0.2">
      <c r="A9" s="6">
        <f t="shared" si="1"/>
        <v>8</v>
      </c>
      <c r="B9">
        <f>loan1!E9</f>
        <v>195638.88537670553</v>
      </c>
      <c r="C9">
        <f>loan2!E9</f>
        <v>258243.32869725127</v>
      </c>
      <c r="D9" s="4">
        <f t="shared" si="0"/>
        <v>1328639.1469576519</v>
      </c>
      <c r="E9">
        <f>loan3!E5</f>
        <v>938909.25411022198</v>
      </c>
    </row>
    <row r="10" spans="1:5" x14ac:dyDescent="0.2">
      <c r="A10" s="6">
        <f t="shared" si="1"/>
        <v>9</v>
      </c>
      <c r="B10">
        <f>loan1!E10</f>
        <v>188170.00855498324</v>
      </c>
      <c r="C10">
        <f>loan2!E10</f>
        <v>248384.41129257786</v>
      </c>
      <c r="D10" s="4">
        <f t="shared" si="0"/>
        <v>1294777.0870827746</v>
      </c>
      <c r="E10">
        <f>loan3!E6</f>
        <v>923164.06201282667</v>
      </c>
    </row>
    <row r="11" spans="1:5" x14ac:dyDescent="0.2">
      <c r="A11" s="6">
        <f t="shared" si="1"/>
        <v>10</v>
      </c>
      <c r="B11">
        <f>loan1!E11</f>
        <v>180540.55088159395</v>
      </c>
      <c r="C11">
        <f>loan2!E11</f>
        <v>238313.52716370398</v>
      </c>
      <c r="D11" s="4">
        <f t="shared" si="0"/>
        <v>1260339.1081645538</v>
      </c>
      <c r="E11">
        <f>loan3!E7</f>
        <v>907225.20405263349</v>
      </c>
    </row>
    <row r="12" spans="1:5" x14ac:dyDescent="0.2">
      <c r="A12" s="6">
        <f t="shared" si="1"/>
        <v>11</v>
      </c>
      <c r="B12">
        <f>loan1!E12</f>
        <v>172747.05986822679</v>
      </c>
      <c r="C12">
        <f>loan2!E12</f>
        <v>228026.11902605931</v>
      </c>
      <c r="D12" s="4">
        <f t="shared" si="0"/>
        <v>1225314.6989610577</v>
      </c>
      <c r="E12">
        <f>loan3!E8</f>
        <v>891090.29813952988</v>
      </c>
    </row>
    <row r="13" spans="1:5" x14ac:dyDescent="0.2">
      <c r="A13" s="6">
        <f t="shared" si="1"/>
        <v>12</v>
      </c>
      <c r="B13">
        <f>loan1!E13</f>
        <v>164786.0087980722</v>
      </c>
      <c r="C13">
        <f>loan2!E13</f>
        <v>217517.53161345527</v>
      </c>
      <c r="D13" s="4">
        <f t="shared" si="0"/>
        <v>1189693.1452521696</v>
      </c>
      <c r="E13">
        <f>loan3!E9</f>
        <v>874756.93288369512</v>
      </c>
    </row>
    <row r="14" spans="1:5" x14ac:dyDescent="0.2">
      <c r="A14" s="6">
        <f t="shared" si="1"/>
        <v>13</v>
      </c>
      <c r="B14">
        <f>loan1!E14</f>
        <v>156653.7951299093</v>
      </c>
      <c r="C14">
        <f>loan2!E14</f>
        <v>206783.00957148024</v>
      </c>
      <c r="D14" s="4">
        <f t="shared" si="0"/>
        <v>1153463.5257586204</v>
      </c>
      <c r="E14">
        <f>loan3!E10</f>
        <v>858222.66723521356</v>
      </c>
    </row>
    <row r="15" spans="1:5" x14ac:dyDescent="0.2">
      <c r="A15" s="6">
        <f t="shared" si="1"/>
        <v>14</v>
      </c>
      <c r="B15">
        <f>loan1!E15</f>
        <v>148346.73886788089</v>
      </c>
      <c r="C15">
        <f>loan2!E15</f>
        <v>195817.69530560274</v>
      </c>
      <c r="D15" s="4">
        <f t="shared" si="0"/>
        <v>1116614.7079767673</v>
      </c>
      <c r="E15">
        <f>loan3!E11</f>
        <v>841485.03011925577</v>
      </c>
    </row>
    <row r="16" spans="1:5" x14ac:dyDescent="0.2">
      <c r="A16" s="6">
        <f t="shared" si="1"/>
        <v>15</v>
      </c>
      <c r="B16">
        <f>loan1!E16</f>
        <v>139861.08089621889</v>
      </c>
      <c r="C16">
        <f>loan2!E16</f>
        <v>184616.62678300889</v>
      </c>
      <c r="D16" s="4">
        <f t="shared" si="0"/>
        <v>1079135.343927341</v>
      </c>
      <c r="E16">
        <f>loan3!E12</f>
        <v>824541.52006677166</v>
      </c>
    </row>
    <row r="17" spans="1:5" x14ac:dyDescent="0.2">
      <c r="A17" s="6">
        <f t="shared" si="1"/>
        <v>16</v>
      </c>
      <c r="B17">
        <f>loan1!E17</f>
        <v>131192.98127816615</v>
      </c>
      <c r="C17">
        <f>loan2!E17</f>
        <v>173174.73528717927</v>
      </c>
      <c r="D17" s="4">
        <f t="shared" si="0"/>
        <v>1041013.8658163594</v>
      </c>
      <c r="E17">
        <f>loan3!E13</f>
        <v>807389.60484064196</v>
      </c>
    </row>
    <row r="18" spans="1:5" x14ac:dyDescent="0.2">
      <c r="A18" s="6">
        <f t="shared" si="1"/>
        <v>17</v>
      </c>
      <c r="B18">
        <f>loan1!E18</f>
        <v>122338.51751832526</v>
      </c>
      <c r="C18">
        <f>loan2!E18</f>
        <v>161486.8431241893</v>
      </c>
      <c r="D18" s="4">
        <f t="shared" si="0"/>
        <v>1002238.4816063651</v>
      </c>
      <c r="E18">
        <f>loan3!E14</f>
        <v>790026.72105723084</v>
      </c>
    </row>
    <row r="19" spans="1:5" x14ac:dyDescent="0.2">
      <c r="A19" s="6">
        <f t="shared" si="1"/>
        <v>18</v>
      </c>
      <c r="B19">
        <f>loan1!E19</f>
        <v>113293.68278764778</v>
      </c>
      <c r="C19">
        <f>loan2!E19</f>
        <v>149547.66127969502</v>
      </c>
      <c r="D19" s="4">
        <f t="shared" si="0"/>
        <v>962797.17049609777</v>
      </c>
      <c r="E19">
        <f>loan3!E15</f>
        <v>772450.27380328381</v>
      </c>
    </row>
    <row r="20" spans="1:5" x14ac:dyDescent="0.2">
      <c r="A20" s="6">
        <f t="shared" si="1"/>
        <v>19</v>
      </c>
      <c r="B20">
        <f>loan1!E20</f>
        <v>104054.38411026074</v>
      </c>
      <c r="C20">
        <f>loan2!E20</f>
        <v>137351.78702554412</v>
      </c>
      <c r="D20" s="4">
        <f t="shared" si="0"/>
        <v>922677.6783066825</v>
      </c>
      <c r="E20">
        <f>loan3!E16</f>
        <v>754657.63624811324</v>
      </c>
    </row>
    <row r="21" spans="1:5" x14ac:dyDescent="0.2">
      <c r="A21" s="6">
        <f t="shared" si="1"/>
        <v>20</v>
      </c>
      <c r="B21">
        <f>loan1!E21</f>
        <v>94616.440511309862</v>
      </c>
      <c r="C21">
        <f>loan2!E21</f>
        <v>124893.70147492898</v>
      </c>
      <c r="D21" s="4">
        <f t="shared" si="0"/>
        <v>881867.51277236734</v>
      </c>
      <c r="E21">
        <f>loan3!E17</f>
        <v>736646.14925101399</v>
      </c>
    </row>
    <row r="22" spans="1:5" x14ac:dyDescent="0.2">
      <c r="A22" s="6">
        <f t="shared" si="1"/>
        <v>21</v>
      </c>
      <c r="B22">
        <f>loan1!E22</f>
        <v>84975.581124981545</v>
      </c>
      <c r="C22">
        <f>loan2!E22</f>
        <v>112167.76708497561</v>
      </c>
      <c r="D22" s="4">
        <f t="shared" si="0"/>
        <v>840353.93873380392</v>
      </c>
      <c r="E22">
        <f>loan3!E18</f>
        <v>718413.12096385052</v>
      </c>
    </row>
    <row r="23" spans="1:5" x14ac:dyDescent="0.2">
      <c r="A23" s="6">
        <f t="shared" si="1"/>
        <v>22</v>
      </c>
      <c r="B23">
        <f>loan1!E23</f>
        <v>75127.443261847162</v>
      </c>
      <c r="C23">
        <f>loan2!E23</f>
        <v>99168.225105638223</v>
      </c>
      <c r="D23" s="4">
        <f t="shared" si="0"/>
        <v>798123.97323182458</v>
      </c>
      <c r="E23">
        <f>loan3!E19</f>
        <v>699955.82642875495</v>
      </c>
    </row>
    <row r="24" spans="1:5" x14ac:dyDescent="0.2">
      <c r="A24" s="6">
        <f t="shared" si="1"/>
        <v>23</v>
      </c>
      <c r="B24">
        <f>loan1!E24</f>
        <v>65067.57043465539</v>
      </c>
      <c r="C24">
        <f>loan2!E24</f>
        <v>85889.192973745085</v>
      </c>
      <c r="D24" s="4">
        <f t="shared" si="0"/>
        <v>755164.38049962011</v>
      </c>
      <c r="E24">
        <f>loan3!E20</f>
        <v>681271.50717087765</v>
      </c>
    </row>
    <row r="25" spans="1:5" x14ac:dyDescent="0.2">
      <c r="A25" s="6">
        <f t="shared" si="1"/>
        <v>24</v>
      </c>
      <c r="B25">
        <f>loan1!E25</f>
        <v>54791.410341678973</v>
      </c>
      <c r="C25">
        <f>loan2!E25</f>
        <v>72324.661651016213</v>
      </c>
      <c r="D25" s="4">
        <f t="shared" si="0"/>
        <v>711461.66685118584</v>
      </c>
      <c r="E25">
        <f>loan3!E21</f>
        <v>662357.37078612845</v>
      </c>
    </row>
    <row r="26" spans="1:5" x14ac:dyDescent="0.2">
      <c r="A26" s="6">
        <f t="shared" si="1"/>
        <v>25</v>
      </c>
      <c r="B26">
        <f>loan1!E26</f>
        <v>44294.312806703572</v>
      </c>
      <c r="C26">
        <f>loan2!E26</f>
        <v>58468.492904848696</v>
      </c>
      <c r="D26" s="4">
        <f t="shared" si="0"/>
        <v>667002.07546385133</v>
      </c>
      <c r="E26">
        <f>loan3!E22</f>
        <v>643210.5905238468</v>
      </c>
    </row>
    <row r="27" spans="1:5" x14ac:dyDescent="0.2">
      <c r="A27" s="6">
        <f t="shared" si="1"/>
        <v>26</v>
      </c>
      <c r="B27">
        <f>loan1!E27</f>
        <v>33571.527674726181</v>
      </c>
      <c r="C27">
        <f>loan2!E27</f>
        <v>44314.416530638548</v>
      </c>
      <c r="D27" s="4">
        <f t="shared" si="0"/>
        <v>621771.58105266606</v>
      </c>
      <c r="E27">
        <f>loan3!E23</f>
        <v>623828.30486433918</v>
      </c>
    </row>
    <row r="28" spans="1:5" x14ac:dyDescent="0.2">
      <c r="A28" s="6">
        <f t="shared" si="1"/>
        <v>27</v>
      </c>
      <c r="B28">
        <f>loan1!E28</f>
        <v>22618.202662411262</v>
      </c>
      <c r="C28">
        <f>loan2!E28</f>
        <v>29856.027514382862</v>
      </c>
      <c r="D28" s="4">
        <f t="shared" si="0"/>
        <v>575755.88443436637</v>
      </c>
      <c r="E28">
        <f>loan3!E24</f>
        <v>604207.61709121964</v>
      </c>
    </row>
    <row r="29" spans="1:5" x14ac:dyDescent="0.2">
      <c r="A29" s="6">
        <f t="shared" si="1"/>
        <v>28</v>
      </c>
      <c r="B29">
        <f>loan1!E29</f>
        <v>11429.381162331521</v>
      </c>
      <c r="C29">
        <f>loan2!E29</f>
        <v>15086.783134277604</v>
      </c>
      <c r="D29" s="4">
        <f t="shared" si="0"/>
        <v>528940.40697859856</v>
      </c>
      <c r="E29">
        <f>loan3!E25</f>
        <v>584345.59485849063</v>
      </c>
    </row>
    <row r="30" spans="1:5" x14ac:dyDescent="0.2">
      <c r="A30" s="6">
        <f t="shared" si="1"/>
        <v>29</v>
      </c>
      <c r="B30">
        <f>loan1!E30</f>
        <v>4.9112713895738125E-11</v>
      </c>
      <c r="C30">
        <f>loan2!E30</f>
        <v>6.5483618527650833E-11</v>
      </c>
      <c r="D30" s="4">
        <f t="shared" si="0"/>
        <v>481310.28494402702</v>
      </c>
      <c r="E30">
        <f>loan3!E26</f>
        <v>564239.26975229906</v>
      </c>
    </row>
    <row r="31" spans="1:5" x14ac:dyDescent="0.2">
      <c r="A31" s="6">
        <f t="shared" si="1"/>
        <v>30</v>
      </c>
      <c r="B31" t="e">
        <f>loan1!E31</f>
        <v>#DIV/0!</v>
      </c>
      <c r="C31" t="e">
        <f>loan2!E31</f>
        <v>#DIV/0!</v>
      </c>
      <c r="D31" s="4" t="e">
        <f t="shared" si="0"/>
        <v>#DIV/0!</v>
      </c>
      <c r="E31">
        <f>loan3!E27</f>
        <v>543885.63684730139</v>
      </c>
    </row>
    <row r="32" spans="1:5" x14ac:dyDescent="0.2">
      <c r="A32" s="6">
        <f t="shared" si="1"/>
        <v>31</v>
      </c>
      <c r="D32" s="4">
        <f t="shared" si="0"/>
        <v>438300.07009690494</v>
      </c>
      <c r="E32">
        <f>loan3!E28</f>
        <v>523281.65425757226</v>
      </c>
    </row>
    <row r="33" spans="1:5" x14ac:dyDescent="0.2">
      <c r="A33" s="6">
        <f t="shared" si="1"/>
        <v>32</v>
      </c>
      <c r="D33" s="4">
        <f t="shared" si="0"/>
        <v>416397.38503614592</v>
      </c>
      <c r="E33">
        <f>loan3!E29</f>
        <v>502424.24268198939</v>
      </c>
    </row>
    <row r="34" spans="1:5" x14ac:dyDescent="0.2">
      <c r="A34" s="6">
        <f t="shared" si="1"/>
        <v>33</v>
      </c>
      <c r="D34" s="4">
        <f t="shared" si="0"/>
        <v>394225.29694913956</v>
      </c>
      <c r="E34">
        <f>loan3!E30</f>
        <v>481310.28494402691</v>
      </c>
    </row>
    <row r="35" spans="1:5" x14ac:dyDescent="0.2">
      <c r="A35" s="6">
        <f t="shared" si="1"/>
        <v>34</v>
      </c>
      <c r="D35" s="4">
        <f t="shared" si="0"/>
        <v>371780.49217866303</v>
      </c>
      <c r="E35">
        <f>loan3!E31</f>
        <v>459936.62552588747</v>
      </c>
    </row>
    <row r="36" spans="1:5" x14ac:dyDescent="0.2">
      <c r="A36" s="6">
        <f t="shared" si="1"/>
        <v>35</v>
      </c>
      <c r="D36" s="4">
        <f t="shared" si="0"/>
        <v>349059.61630950961</v>
      </c>
      <c r="E36">
        <f>loan3!E32</f>
        <v>438300.07009690494</v>
      </c>
    </row>
    <row r="37" spans="1:5" x14ac:dyDescent="0.2">
      <c r="A37" s="6">
        <f t="shared" si="1"/>
        <v>36</v>
      </c>
      <c r="D37" s="4">
        <f t="shared" si="0"/>
        <v>326059.2736671656</v>
      </c>
      <c r="E37">
        <f>loan3!E33</f>
        <v>416397.38503614592</v>
      </c>
    </row>
    <row r="38" spans="1:5" x14ac:dyDescent="0.2">
      <c r="A38" s="6">
        <f t="shared" si="1"/>
        <v>37</v>
      </c>
      <c r="D38" s="4">
        <f t="shared" si="0"/>
        <v>302776.02681032079</v>
      </c>
      <c r="E38">
        <f>loan3!E34</f>
        <v>394225.29694913956</v>
      </c>
    </row>
    <row r="39" spans="1:5" x14ac:dyDescent="0.2">
      <c r="A39" s="6">
        <f t="shared" si="1"/>
        <v>38</v>
      </c>
      <c r="D39" s="4">
        <f t="shared" si="0"/>
        <v>279206.39601713675</v>
      </c>
      <c r="E39">
        <f>loan3!E35</f>
        <v>371780.49217866303</v>
      </c>
    </row>
    <row r="40" spans="1:5" x14ac:dyDescent="0.2">
      <c r="A40" s="6">
        <f t="shared" si="1"/>
        <v>39</v>
      </c>
      <c r="D40" s="4">
        <f t="shared" si="0"/>
        <v>255346.85876519658</v>
      </c>
      <c r="E40">
        <f>loan3!E36</f>
        <v>349059.61630950961</v>
      </c>
    </row>
    <row r="41" spans="1:5" x14ac:dyDescent="0.2">
      <c r="A41" s="6">
        <f t="shared" si="1"/>
        <v>40</v>
      </c>
      <c r="D41" s="4">
        <f t="shared" si="0"/>
        <v>231193.84920505752</v>
      </c>
      <c r="E41">
        <f>loan3!E37</f>
        <v>326059.2736671656</v>
      </c>
    </row>
    <row r="42" spans="1:5" x14ac:dyDescent="0.2">
      <c r="A42" s="6">
        <f t="shared" si="1"/>
        <v>41</v>
      </c>
      <c r="D42" s="4">
        <f t="shared" si="0"/>
        <v>206743.75762732874</v>
      </c>
      <c r="E42">
        <f>loan3!E38</f>
        <v>302776.02681032079</v>
      </c>
    </row>
    <row r="43" spans="1:5" x14ac:dyDescent="0.2">
      <c r="A43" s="6">
        <f t="shared" si="1"/>
        <v>42</v>
      </c>
      <c r="D43" s="4">
        <f t="shared" si="0"/>
        <v>181992.92992319391</v>
      </c>
      <c r="E43">
        <f>loan3!E39</f>
        <v>279206.39601713675</v>
      </c>
    </row>
    <row r="44" spans="1:5" x14ac:dyDescent="0.2">
      <c r="A44" s="6">
        <f t="shared" si="1"/>
        <v>43</v>
      </c>
      <c r="D44" s="4">
        <f t="shared" si="0"/>
        <v>156937.66703829824</v>
      </c>
      <c r="E44">
        <f>loan3!E40</f>
        <v>255346.85876519658</v>
      </c>
    </row>
    <row r="45" spans="1:5" x14ac:dyDescent="0.2">
      <c r="A45" s="6">
        <f t="shared" si="1"/>
        <v>44</v>
      </c>
      <c r="D45" s="4">
        <f t="shared" si="0"/>
        <v>131574.22441991832</v>
      </c>
      <c r="E45">
        <f>loan3!E41</f>
        <v>231193.84920505752</v>
      </c>
    </row>
    <row r="46" spans="1:5" x14ac:dyDescent="0.2">
      <c r="A46" s="6">
        <f t="shared" si="1"/>
        <v>45</v>
      </c>
      <c r="D46" s="4">
        <f t="shared" si="0"/>
        <v>105898.81145733237</v>
      </c>
      <c r="E46">
        <f>loan3!E42</f>
        <v>206743.75762732874</v>
      </c>
    </row>
    <row r="47" spans="1:5" x14ac:dyDescent="0.2">
      <c r="A47" s="6">
        <f t="shared" si="1"/>
        <v>46</v>
      </c>
      <c r="D47" s="4">
        <f t="shared" si="0"/>
        <v>79907.590915306602</v>
      </c>
      <c r="E47">
        <f>loan3!E43</f>
        <v>181992.92992319391</v>
      </c>
    </row>
    <row r="48" spans="1:5" x14ac:dyDescent="0.2">
      <c r="A48" s="6">
        <f t="shared" si="1"/>
        <v>47</v>
      </c>
      <c r="D48" s="4">
        <f t="shared" si="0"/>
        <v>53596.678360613965</v>
      </c>
      <c r="E48">
        <f>loan3!E44</f>
        <v>156937.66703829824</v>
      </c>
    </row>
    <row r="49" spans="1:5" x14ac:dyDescent="0.2">
      <c r="A49" s="6">
        <f t="shared" si="1"/>
        <v>48</v>
      </c>
      <c r="D49" s="4">
        <f t="shared" si="0"/>
        <v>26962.141581498472</v>
      </c>
      <c r="E49">
        <f>loan3!E45</f>
        <v>131574.22441991832</v>
      </c>
    </row>
    <row r="50" spans="1:5" x14ac:dyDescent="0.2">
      <c r="A50" s="6">
        <f t="shared" si="1"/>
        <v>49</v>
      </c>
      <c r="D50" s="4">
        <f t="shared" si="0"/>
        <v>0</v>
      </c>
      <c r="E50">
        <f>loan3!E46</f>
        <v>105898.81145733237</v>
      </c>
    </row>
    <row r="51" spans="1:5" x14ac:dyDescent="0.2">
      <c r="A51" s="6">
        <f t="shared" si="1"/>
        <v>50</v>
      </c>
      <c r="D51" s="4">
        <f t="shared" si="0"/>
        <v>0</v>
      </c>
      <c r="E51">
        <f>loan3!E47</f>
        <v>79907.590915306602</v>
      </c>
    </row>
    <row r="52" spans="1:5" x14ac:dyDescent="0.2">
      <c r="A52" s="6">
        <f t="shared" si="1"/>
        <v>51</v>
      </c>
      <c r="D52" s="4">
        <f t="shared" si="0"/>
        <v>0</v>
      </c>
      <c r="E52">
        <f>loan3!E48</f>
        <v>53596.678360613965</v>
      </c>
    </row>
    <row r="53" spans="1:5" x14ac:dyDescent="0.2">
      <c r="A53" s="6">
        <f t="shared" si="1"/>
        <v>52</v>
      </c>
      <c r="D53" s="4">
        <f t="shared" si="0"/>
        <v>0</v>
      </c>
      <c r="E53">
        <f>loan3!E49</f>
        <v>26962.141581498472</v>
      </c>
    </row>
    <row r="54" spans="1:5" x14ac:dyDescent="0.2">
      <c r="A54" s="6">
        <f t="shared" si="1"/>
        <v>53</v>
      </c>
      <c r="D54" s="4">
        <f t="shared" si="0"/>
        <v>0</v>
      </c>
      <c r="E54">
        <f>loan3!E50</f>
        <v>0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I53"/>
  <sheetViews>
    <sheetView workbookViewId="0">
      <selection activeCell="J25" sqref="J25"/>
    </sheetView>
  </sheetViews>
  <sheetFormatPr baseColWidth="10" defaultColWidth="8.83203125" defaultRowHeight="15" x14ac:dyDescent="0.2"/>
  <cols>
    <col min="1" max="4" width="18.6640625" customWidth="1"/>
    <col min="5" max="5" width="13.33203125" customWidth="1"/>
    <col min="8" max="8" width="11" customWidth="1"/>
    <col min="9" max="9" width="14.6640625" customWidth="1"/>
  </cols>
  <sheetData>
    <row r="1" spans="1:9" x14ac:dyDescent="0.2">
      <c r="A1" s="1" t="s">
        <v>0</v>
      </c>
      <c r="B1" s="1" t="s">
        <v>3</v>
      </c>
      <c r="C1" s="1" t="s">
        <v>4</v>
      </c>
      <c r="D1" s="1" t="s">
        <v>20</v>
      </c>
      <c r="E1" s="8" t="s">
        <v>5</v>
      </c>
      <c r="G1" s="3" t="s">
        <v>19</v>
      </c>
      <c r="H1" s="3" t="s">
        <v>22</v>
      </c>
      <c r="I1" s="3" t="s">
        <v>21</v>
      </c>
    </row>
    <row r="2" spans="1:9" x14ac:dyDescent="0.2">
      <c r="A2">
        <v>1</v>
      </c>
      <c r="B2">
        <v>20000</v>
      </c>
      <c r="C2">
        <f>loan1!C2</f>
        <v>5375</v>
      </c>
      <c r="D2">
        <f>E2-H2-I2</f>
        <v>156649.77428535715</v>
      </c>
      <c r="E2">
        <f>160000 +B2-H2</f>
        <v>168324.88714267858</v>
      </c>
      <c r="G2">
        <f>loan3!C2</f>
        <v>12300</v>
      </c>
      <c r="H2">
        <f>loan1!G2</f>
        <v>11675.112857321426</v>
      </c>
      <c r="I2">
        <v>0</v>
      </c>
    </row>
    <row r="3" spans="1:9" x14ac:dyDescent="0.2">
      <c r="A3">
        <v>2</v>
      </c>
      <c r="B3">
        <v>0</v>
      </c>
      <c r="C3">
        <f>loan1!C3</f>
        <v>5239.5475735675891</v>
      </c>
      <c r="D3">
        <f t="shared" ref="D3:D52" si="0">E3-H3-I3</f>
        <v>143085.33956911098</v>
      </c>
      <c r="E3">
        <f t="shared" ref="E3:E52" si="1">160000 +B3-C3</f>
        <v>154760.4524264324</v>
      </c>
      <c r="G3">
        <f>loan3!C3</f>
        <v>12115.576556147704</v>
      </c>
      <c r="H3">
        <f>loan1!G3</f>
        <v>11675.11285732143</v>
      </c>
      <c r="I3">
        <v>0</v>
      </c>
    </row>
    <row r="4" spans="1:9" x14ac:dyDescent="0.2">
      <c r="A4">
        <v>3</v>
      </c>
      <c r="B4">
        <v>0</v>
      </c>
      <c r="C4">
        <f>loan1!C4</f>
        <v>5101.1829199668809</v>
      </c>
      <c r="D4">
        <f t="shared" si="0"/>
        <v>143223.70422271171</v>
      </c>
      <c r="E4">
        <f t="shared" si="1"/>
        <v>154898.81708003313</v>
      </c>
      <c r="G4">
        <f>loan3!C4</f>
        <v>11928.884703936023</v>
      </c>
      <c r="H4">
        <f>loan1!G4</f>
        <v>11675.112857321428</v>
      </c>
      <c r="I4">
        <v>0</v>
      </c>
    </row>
    <row r="5" spans="1:9" x14ac:dyDescent="0.2">
      <c r="A5">
        <v>4</v>
      </c>
      <c r="B5">
        <v>500000</v>
      </c>
      <c r="C5">
        <f>loan1!C5</f>
        <v>4959.8434263137588</v>
      </c>
      <c r="D5">
        <f t="shared" si="0"/>
        <v>643365.04371636489</v>
      </c>
      <c r="E5">
        <f t="shared" si="1"/>
        <v>655040.15657368628</v>
      </c>
      <c r="G5">
        <f>loan3!C5</f>
        <v>11739.896541942138</v>
      </c>
      <c r="H5">
        <f>loan1!G5</f>
        <v>11675.112857321432</v>
      </c>
      <c r="I5">
        <v>0</v>
      </c>
    </row>
    <row r="6" spans="1:9" x14ac:dyDescent="0.2">
      <c r="A6">
        <v>5</v>
      </c>
      <c r="B6">
        <f>B5+100000</f>
        <v>600000</v>
      </c>
      <c r="C6">
        <f>loan1!C6</f>
        <v>4815.4651335470935</v>
      </c>
      <c r="D6">
        <f t="shared" si="0"/>
        <v>716215.64608618058</v>
      </c>
      <c r="E6">
        <f t="shared" si="1"/>
        <v>755184.53486645292</v>
      </c>
      <c r="G6">
        <f>loan3!C6</f>
        <v>11548.58382555573</v>
      </c>
      <c r="H6">
        <f>loan1!G6</f>
        <v>11675.112857321436</v>
      </c>
      <c r="I6">
        <f>loan3!G6</f>
        <v>27293.775922950983</v>
      </c>
    </row>
    <row r="7" spans="1:9" x14ac:dyDescent="0.2">
      <c r="A7">
        <v>6</v>
      </c>
      <c r="B7">
        <f t="shared" ref="B7:B52" si="2">B6+100000</f>
        <v>700000</v>
      </c>
      <c r="C7">
        <f>loan1!C7</f>
        <v>4667.982707485945</v>
      </c>
      <c r="D7">
        <f t="shared" si="0"/>
        <v>816363.12851224176</v>
      </c>
      <c r="E7">
        <f t="shared" si="1"/>
        <v>855332.01729251409</v>
      </c>
      <c r="G7">
        <f>loan3!C7</f>
        <v>11354.917962757769</v>
      </c>
      <c r="H7">
        <f>loan1!G7</f>
        <v>11675.112857321436</v>
      </c>
      <c r="I7">
        <f>loan3!G7</f>
        <v>27293.775922950979</v>
      </c>
    </row>
    <row r="8" spans="1:9" x14ac:dyDescent="0.2">
      <c r="A8">
        <v>7</v>
      </c>
      <c r="B8">
        <f t="shared" si="2"/>
        <v>800000</v>
      </c>
      <c r="C8">
        <f>loan1!C8</f>
        <v>4517.3294092644819</v>
      </c>
      <c r="D8">
        <f t="shared" si="0"/>
        <v>916513.78181046317</v>
      </c>
      <c r="E8">
        <f t="shared" si="1"/>
        <v>955482.67059073551</v>
      </c>
      <c r="G8">
        <f>loan3!C8</f>
        <v>11158.870009847393</v>
      </c>
      <c r="H8">
        <f>loan1!G8</f>
        <v>11675.112857321436</v>
      </c>
      <c r="I8">
        <f>loan3!G8</f>
        <v>27293.775922950976</v>
      </c>
    </row>
    <row r="9" spans="1:9" x14ac:dyDescent="0.2">
      <c r="A9">
        <v>8</v>
      </c>
      <c r="B9">
        <f t="shared" si="2"/>
        <v>900000</v>
      </c>
      <c r="C9">
        <f>loan1!C9</f>
        <v>4363.4370651312574</v>
      </c>
      <c r="D9">
        <f t="shared" si="0"/>
        <v>1016667.6741545964</v>
      </c>
      <c r="E9">
        <f t="shared" si="1"/>
        <v>1055636.5629348687</v>
      </c>
      <c r="G9">
        <f>loan3!C9</f>
        <v>10960.410667116217</v>
      </c>
      <c r="H9">
        <f>loan1!G9</f>
        <v>11675.112857321441</v>
      </c>
      <c r="I9">
        <f>loan3!G9</f>
        <v>27293.775922950979</v>
      </c>
    </row>
    <row r="10" spans="1:9" x14ac:dyDescent="0.2">
      <c r="A10">
        <v>9</v>
      </c>
      <c r="B10">
        <f t="shared" si="2"/>
        <v>1000000</v>
      </c>
      <c r="C10">
        <f>loan1!C10</f>
        <v>4206.2360355991686</v>
      </c>
      <c r="D10">
        <f t="shared" si="0"/>
        <v>1116824.8751841283</v>
      </c>
      <c r="E10">
        <f t="shared" si="1"/>
        <v>1155793.7639644009</v>
      </c>
      <c r="G10">
        <f>loan3!C10</f>
        <v>10759.51027446945</v>
      </c>
      <c r="H10">
        <f>loan1!G10</f>
        <v>11675.112857321439</v>
      </c>
      <c r="I10">
        <f>loan3!G10</f>
        <v>27293.775922950983</v>
      </c>
    </row>
    <row r="11" spans="1:9" x14ac:dyDescent="0.2">
      <c r="A11">
        <v>10</v>
      </c>
      <c r="B11">
        <f t="shared" si="2"/>
        <v>1100000</v>
      </c>
      <c r="C11">
        <f>loan1!C11</f>
        <v>4045.6551839321396</v>
      </c>
      <c r="D11">
        <f t="shared" si="0"/>
        <v>1216985.4560357954</v>
      </c>
      <c r="E11">
        <f t="shared" si="1"/>
        <v>1255954.344816068</v>
      </c>
      <c r="G11">
        <f>loan3!C11</f>
        <v>10556.138806993127</v>
      </c>
      <c r="H11">
        <f>loan1!G11</f>
        <v>11675.112857321439</v>
      </c>
      <c r="I11">
        <f>loan3!G11</f>
        <v>27293.775922950979</v>
      </c>
    </row>
    <row r="12" spans="1:9" x14ac:dyDescent="0.2">
      <c r="A12">
        <v>11</v>
      </c>
      <c r="B12">
        <f t="shared" si="2"/>
        <v>1200000</v>
      </c>
      <c r="C12">
        <f>loan1!C12</f>
        <v>3881.6218439542695</v>
      </c>
      <c r="D12">
        <f t="shared" si="0"/>
        <v>1317149.4893757731</v>
      </c>
      <c r="E12">
        <f t="shared" si="1"/>
        <v>1356118.3781560457</v>
      </c>
      <c r="G12">
        <f>loan3!C12</f>
        <v>10350.265870466847</v>
      </c>
      <c r="H12">
        <f>loan1!G12</f>
        <v>11675.112857321446</v>
      </c>
      <c r="I12">
        <f>loan3!G12</f>
        <v>27293.775922950987</v>
      </c>
    </row>
    <row r="13" spans="1:9" x14ac:dyDescent="0.2">
      <c r="A13">
        <v>12</v>
      </c>
      <c r="B13">
        <f t="shared" si="2"/>
        <v>1300000</v>
      </c>
      <c r="C13">
        <f>loan1!C13</f>
        <v>3714.0617871668755</v>
      </c>
      <c r="D13">
        <f t="shared" si="0"/>
        <v>1417317.0494325606</v>
      </c>
      <c r="E13">
        <f t="shared" si="1"/>
        <v>1456285.9382128331</v>
      </c>
      <c r="G13">
        <f>loan3!C13</f>
        <v>10141.860696821292</v>
      </c>
      <c r="H13">
        <f>loan1!G13</f>
        <v>11675.11285732145</v>
      </c>
      <c r="I13">
        <f>loan3!G13</f>
        <v>27293.775922950987</v>
      </c>
    </row>
    <row r="14" spans="1:9" x14ac:dyDescent="0.2">
      <c r="A14">
        <v>13</v>
      </c>
      <c r="B14">
        <f t="shared" si="2"/>
        <v>1400000</v>
      </c>
      <c r="C14">
        <f>loan1!C14</f>
        <v>3542.899189158552</v>
      </c>
      <c r="D14">
        <f t="shared" si="0"/>
        <v>1517488.2120305689</v>
      </c>
      <c r="E14">
        <f t="shared" si="1"/>
        <v>1556457.1008108414</v>
      </c>
      <c r="G14">
        <f>loan3!C14</f>
        <v>9930.8921395398957</v>
      </c>
      <c r="H14">
        <f>loan1!G14</f>
        <v>11675.11285732145</v>
      </c>
      <c r="I14">
        <f>loan3!G14</f>
        <v>27293.775922950983</v>
      </c>
    </row>
    <row r="15" spans="1:9" x14ac:dyDescent="0.2">
      <c r="A15">
        <v>14</v>
      </c>
      <c r="B15">
        <f t="shared" si="2"/>
        <v>1500000</v>
      </c>
      <c r="C15">
        <f>loan1!C15</f>
        <v>3368.0565952930497</v>
      </c>
      <c r="D15">
        <f t="shared" si="0"/>
        <v>1617663.0546244343</v>
      </c>
      <c r="E15">
        <f t="shared" si="1"/>
        <v>1656631.9434047069</v>
      </c>
      <c r="G15">
        <f>loan3!C15</f>
        <v>9717.3286690039386</v>
      </c>
      <c r="H15">
        <f>loan1!G15</f>
        <v>11675.112857321452</v>
      </c>
      <c r="I15">
        <f>loan3!G15</f>
        <v>27293.775922950979</v>
      </c>
    </row>
    <row r="16" spans="1:9" x14ac:dyDescent="0.2">
      <c r="A16">
        <v>15</v>
      </c>
      <c r="B16">
        <f t="shared" si="2"/>
        <v>1600000</v>
      </c>
      <c r="C16">
        <f>loan1!C16</f>
        <v>3189.4548856594388</v>
      </c>
      <c r="D16">
        <f t="shared" si="0"/>
        <v>1717841.6563340679</v>
      </c>
      <c r="E16">
        <f t="shared" si="1"/>
        <v>1756810.5451143405</v>
      </c>
      <c r="G16">
        <f>loan3!C16</f>
        <v>9501.1383677803915</v>
      </c>
      <c r="H16">
        <f>loan1!G16</f>
        <v>11675.112857321452</v>
      </c>
      <c r="I16">
        <f>loan3!G16</f>
        <v>27293.775922950976</v>
      </c>
    </row>
    <row r="17" spans="1:9" x14ac:dyDescent="0.2">
      <c r="A17">
        <v>16</v>
      </c>
      <c r="B17">
        <f t="shared" si="2"/>
        <v>1700000</v>
      </c>
      <c r="C17">
        <f>loan1!C17</f>
        <v>3007.013239268706</v>
      </c>
      <c r="D17">
        <f t="shared" si="0"/>
        <v>1818024.0979804588</v>
      </c>
      <c r="E17">
        <f t="shared" si="1"/>
        <v>1856992.9867607313</v>
      </c>
      <c r="G17">
        <f>loan3!C17</f>
        <v>9282.2889258517935</v>
      </c>
      <c r="H17">
        <f>loan1!G17</f>
        <v>11675.112857321461</v>
      </c>
      <c r="I17">
        <f>loan3!G17</f>
        <v>27293.775922950983</v>
      </c>
    </row>
    <row r="18" spans="1:9" x14ac:dyDescent="0.2">
      <c r="A18">
        <v>17</v>
      </c>
      <c r="B18">
        <f t="shared" si="2"/>
        <v>1800000</v>
      </c>
      <c r="C18">
        <f>loan1!C18</f>
        <v>2820.649097480572</v>
      </c>
      <c r="D18">
        <f t="shared" si="0"/>
        <v>1918210.4621222469</v>
      </c>
      <c r="E18">
        <f t="shared" si="1"/>
        <v>1957179.3509025194</v>
      </c>
      <c r="G18">
        <f>loan3!C18</f>
        <v>9060.747635787473</v>
      </c>
      <c r="H18">
        <f>loan1!G18</f>
        <v>11675.112857321459</v>
      </c>
      <c r="I18">
        <f>loan3!G18</f>
        <v>27293.775922950979</v>
      </c>
    </row>
    <row r="19" spans="1:9" x14ac:dyDescent="0.2">
      <c r="A19">
        <v>18</v>
      </c>
      <c r="B19">
        <f t="shared" si="2"/>
        <v>1900000</v>
      </c>
      <c r="C19">
        <f>loan1!C19</f>
        <v>2630.2781266439929</v>
      </c>
      <c r="D19">
        <f t="shared" si="0"/>
        <v>2018400.8330930835</v>
      </c>
      <c r="E19">
        <f t="shared" si="1"/>
        <v>2057369.721873356</v>
      </c>
      <c r="G19">
        <f>loan3!C19</f>
        <v>8836.4813878553614</v>
      </c>
      <c r="H19">
        <f>loan1!G19</f>
        <v>11675.11285732147</v>
      </c>
      <c r="I19">
        <f>loan3!G19</f>
        <v>27293.775922950976</v>
      </c>
    </row>
    <row r="20" spans="1:9" x14ac:dyDescent="0.2">
      <c r="A20">
        <v>19</v>
      </c>
      <c r="B20">
        <f t="shared" si="2"/>
        <v>2000000</v>
      </c>
      <c r="C20">
        <f>loan1!C20</f>
        <v>2435.8141799344271</v>
      </c>
      <c r="D20">
        <f t="shared" si="0"/>
        <v>2118595.2970397933</v>
      </c>
      <c r="E20">
        <f t="shared" si="1"/>
        <v>2157564.1858200654</v>
      </c>
      <c r="G20">
        <f>loan3!C20</f>
        <v>8609.4566650736851</v>
      </c>
      <c r="H20">
        <f>loan1!G20</f>
        <v>11675.112857321466</v>
      </c>
      <c r="I20">
        <f>loan3!G20</f>
        <v>27293.775922950972</v>
      </c>
    </row>
    <row r="21" spans="1:9" x14ac:dyDescent="0.2">
      <c r="A21">
        <v>20</v>
      </c>
      <c r="B21">
        <f t="shared" si="2"/>
        <v>2100000</v>
      </c>
      <c r="C21">
        <f>loan1!C21</f>
        <v>2237.1692583706058</v>
      </c>
      <c r="D21">
        <f t="shared" si="0"/>
        <v>2218793.9419613574</v>
      </c>
      <c r="E21">
        <f t="shared" si="1"/>
        <v>2257762.8307416295</v>
      </c>
      <c r="G21">
        <f>loan3!C21</f>
        <v>8379.6395382017945</v>
      </c>
      <c r="H21">
        <f>loan1!G21</f>
        <v>11675.112857321479</v>
      </c>
      <c r="I21">
        <f>loan3!G21</f>
        <v>27293.775922950983</v>
      </c>
    </row>
    <row r="22" spans="1:9" x14ac:dyDescent="0.2">
      <c r="A22">
        <v>21</v>
      </c>
      <c r="B22">
        <f t="shared" si="2"/>
        <v>2200000</v>
      </c>
      <c r="C22">
        <f>loan1!C22</f>
        <v>2034.253470993162</v>
      </c>
      <c r="D22">
        <f t="shared" si="0"/>
        <v>2318996.8577487348</v>
      </c>
      <c r="E22">
        <f t="shared" si="1"/>
        <v>2357965.7465290069</v>
      </c>
      <c r="G22">
        <f>loan3!C22</f>
        <v>8146.9956606693804</v>
      </c>
      <c r="H22">
        <f>loan1!G22</f>
        <v>11675.112857321479</v>
      </c>
      <c r="I22">
        <f>loan3!G22</f>
        <v>27293.775922950983</v>
      </c>
    </row>
    <row r="23" spans="1:9" x14ac:dyDescent="0.2">
      <c r="A23">
        <v>22</v>
      </c>
      <c r="B23">
        <f t="shared" si="2"/>
        <v>2300000</v>
      </c>
      <c r="C23">
        <f>loan1!C23</f>
        <v>1826.974994187103</v>
      </c>
      <c r="D23">
        <f t="shared" si="0"/>
        <v>2419204.1362255407</v>
      </c>
      <c r="E23">
        <f t="shared" si="1"/>
        <v>2458173.0250058128</v>
      </c>
      <c r="G23">
        <f>loan3!C23</f>
        <v>7911.4902634433156</v>
      </c>
      <c r="H23">
        <f>loan1!G23</f>
        <v>11675.112857321488</v>
      </c>
      <c r="I23">
        <f>loan3!G23</f>
        <v>27293.775922950972</v>
      </c>
    </row>
    <row r="24" spans="1:9" x14ac:dyDescent="0.2">
      <c r="A24">
        <v>23</v>
      </c>
      <c r="B24">
        <f t="shared" si="2"/>
        <v>2400000</v>
      </c>
      <c r="C24">
        <f>loan1!C24</f>
        <v>1615.2400301297139</v>
      </c>
      <c r="D24">
        <f t="shared" si="0"/>
        <v>2519415.871189598</v>
      </c>
      <c r="E24">
        <f t="shared" si="1"/>
        <v>2558384.7599698701</v>
      </c>
      <c r="G24">
        <f>loan3!C24</f>
        <v>7673.088149831372</v>
      </c>
      <c r="H24">
        <f>loan1!G24</f>
        <v>11675.112857321485</v>
      </c>
      <c r="I24">
        <f>loan3!G24</f>
        <v>27293.775922950972</v>
      </c>
    </row>
    <row r="25" spans="1:9" x14ac:dyDescent="0.2">
      <c r="A25">
        <v>24</v>
      </c>
      <c r="B25">
        <f t="shared" si="2"/>
        <v>2500000</v>
      </c>
      <c r="C25">
        <f>loan1!C25</f>
        <v>1398.9527643450908</v>
      </c>
      <c r="D25">
        <f t="shared" si="0"/>
        <v>2619632.1584553826</v>
      </c>
      <c r="E25">
        <f t="shared" si="1"/>
        <v>2658601.0472356551</v>
      </c>
      <c r="G25">
        <f>loan3!C25</f>
        <v>7431.7536902220018</v>
      </c>
      <c r="H25">
        <f>loan1!G25</f>
        <v>11675.11285732151</v>
      </c>
      <c r="I25">
        <f>loan3!G25</f>
        <v>27293.775922950979</v>
      </c>
    </row>
    <row r="26" spans="1:9" x14ac:dyDescent="0.2">
      <c r="A26">
        <v>25</v>
      </c>
      <c r="B26">
        <f t="shared" si="2"/>
        <v>2600000</v>
      </c>
      <c r="C26">
        <f>loan1!C26</f>
        <v>1178.0153223460977</v>
      </c>
      <c r="D26">
        <f t="shared" si="0"/>
        <v>2719853.0958973817</v>
      </c>
      <c r="E26">
        <f t="shared" si="1"/>
        <v>2758821.9846776538</v>
      </c>
      <c r="G26">
        <f>loan3!C26</f>
        <v>7187.4508167594349</v>
      </c>
      <c r="H26">
        <f>loan1!G26</f>
        <v>11675.112857321497</v>
      </c>
      <c r="I26">
        <f>loan3!G26</f>
        <v>27293.775922950976</v>
      </c>
    </row>
    <row r="27" spans="1:9" x14ac:dyDescent="0.2">
      <c r="A27">
        <v>26</v>
      </c>
      <c r="B27">
        <f t="shared" si="2"/>
        <v>2700000</v>
      </c>
      <c r="C27">
        <f>loan1!C27</f>
        <v>952.32772534412675</v>
      </c>
      <c r="D27">
        <f t="shared" si="0"/>
        <v>2820078.7834943831</v>
      </c>
      <c r="E27">
        <f t="shared" si="1"/>
        <v>2859047.6722746557</v>
      </c>
      <c r="G27">
        <f>loan3!C27</f>
        <v>6940.143017953279</v>
      </c>
      <c r="H27">
        <f>loan1!G27</f>
        <v>11675.112857321516</v>
      </c>
      <c r="I27">
        <f>loan3!G27</f>
        <v>27293.775922950983</v>
      </c>
    </row>
    <row r="28" spans="1:9" x14ac:dyDescent="0.2">
      <c r="A28">
        <v>27</v>
      </c>
      <c r="B28">
        <f t="shared" si="2"/>
        <v>2800000</v>
      </c>
      <c r="C28">
        <f>loan1!C28</f>
        <v>721.78784500661288</v>
      </c>
      <c r="D28">
        <f t="shared" si="0"/>
        <v>2920309.3233747208</v>
      </c>
      <c r="E28">
        <f t="shared" si="1"/>
        <v>2959278.2121549933</v>
      </c>
      <c r="G28">
        <f>loan3!C28</f>
        <v>6689.7933332218072</v>
      </c>
      <c r="H28">
        <f>loan1!G28</f>
        <v>11675.11285732153</v>
      </c>
      <c r="I28">
        <f>loan3!G28</f>
        <v>27293.775922950968</v>
      </c>
    </row>
    <row r="29" spans="1:9" x14ac:dyDescent="0.2">
      <c r="A29">
        <v>28</v>
      </c>
      <c r="B29">
        <f t="shared" si="2"/>
        <v>2900000</v>
      </c>
      <c r="C29">
        <f>loan1!C29</f>
        <v>486.29135724184209</v>
      </c>
      <c r="D29">
        <f t="shared" si="0"/>
        <v>3020544.8198624854</v>
      </c>
      <c r="E29">
        <f t="shared" si="1"/>
        <v>3059513.708642758</v>
      </c>
      <c r="G29">
        <f>loan3!C29</f>
        <v>6436.3643473681386</v>
      </c>
      <c r="H29">
        <f>loan1!G29</f>
        <v>11675.112857321583</v>
      </c>
      <c r="I29">
        <f>loan3!G29</f>
        <v>27293.775922950983</v>
      </c>
    </row>
    <row r="30" spans="1:9" x14ac:dyDescent="0.2">
      <c r="A30">
        <v>29</v>
      </c>
      <c r="B30">
        <f t="shared" si="2"/>
        <v>3000000</v>
      </c>
      <c r="C30">
        <f>loan1!C30</f>
        <v>245.73169499012769</v>
      </c>
      <c r="D30">
        <f t="shared" si="0"/>
        <v>3120785.3795247371</v>
      </c>
      <c r="E30">
        <f t="shared" si="1"/>
        <v>3159754.2683050097</v>
      </c>
      <c r="G30">
        <f>loan3!C30</f>
        <v>6179.8181849884695</v>
      </c>
      <c r="H30">
        <f>loan1!G30</f>
        <v>11675.112857321599</v>
      </c>
      <c r="I30">
        <f>loan3!G30</f>
        <v>27293.775922950965</v>
      </c>
    </row>
    <row r="31" spans="1:9" x14ac:dyDescent="0.2">
      <c r="A31">
        <v>30</v>
      </c>
      <c r="B31">
        <f t="shared" si="2"/>
        <v>3100000</v>
      </c>
      <c r="C31">
        <f>loan1!C31</f>
        <v>1.0559233487583695E-12</v>
      </c>
      <c r="D31">
        <f t="shared" si="0"/>
        <v>3232706.2240770492</v>
      </c>
      <c r="E31">
        <f t="shared" si="1"/>
        <v>3260000</v>
      </c>
      <c r="G31">
        <f>loan3!C31</f>
        <v>5920.1165048115308</v>
      </c>
      <c r="H31">
        <v>0</v>
      </c>
      <c r="I31">
        <f>loan3!G31</f>
        <v>27293.775922950979</v>
      </c>
    </row>
    <row r="32" spans="1:9" x14ac:dyDescent="0.2">
      <c r="A32">
        <f>A31+1</f>
        <v>31</v>
      </c>
      <c r="B32">
        <f t="shared" si="2"/>
        <v>3200000</v>
      </c>
      <c r="C32">
        <f>loan1!C32</f>
        <v>0</v>
      </c>
      <c r="D32">
        <f t="shared" si="0"/>
        <v>3332706.2240770492</v>
      </c>
      <c r="E32">
        <f t="shared" si="1"/>
        <v>3360000</v>
      </c>
      <c r="G32">
        <f>loan3!C32</f>
        <v>5657.2204939684161</v>
      </c>
      <c r="H32">
        <v>0</v>
      </c>
      <c r="I32">
        <f>loan3!G32</f>
        <v>27293.775922950976</v>
      </c>
    </row>
    <row r="33" spans="1:9" x14ac:dyDescent="0.2">
      <c r="A33">
        <f t="shared" ref="A33:A53" si="3">A32+1</f>
        <v>32</v>
      </c>
      <c r="B33">
        <f t="shared" si="2"/>
        <v>3300000</v>
      </c>
      <c r="C33">
        <f>loan1!C33</f>
        <v>0</v>
      </c>
      <c r="D33">
        <f t="shared" si="0"/>
        <v>3432706.2240770492</v>
      </c>
      <c r="E33">
        <f t="shared" si="1"/>
        <v>3460000</v>
      </c>
      <c r="G33">
        <f>loan3!C33</f>
        <v>5391.0908621919307</v>
      </c>
      <c r="H33">
        <v>0</v>
      </c>
      <c r="I33">
        <f>loan3!G33</f>
        <v>27293.775922950972</v>
      </c>
    </row>
    <row r="34" spans="1:9" x14ac:dyDescent="0.2">
      <c r="A34">
        <f t="shared" si="3"/>
        <v>33</v>
      </c>
      <c r="B34">
        <f t="shared" si="2"/>
        <v>3400000</v>
      </c>
      <c r="C34">
        <f>loan1!C34</f>
        <v>0</v>
      </c>
      <c r="D34">
        <f t="shared" si="0"/>
        <v>3532706.2240770492</v>
      </c>
      <c r="E34">
        <f t="shared" si="1"/>
        <v>3560000</v>
      </c>
      <c r="G34">
        <f>loan3!C34</f>
        <v>5121.6878359445946</v>
      </c>
      <c r="H34">
        <v>0</v>
      </c>
      <c r="I34">
        <f>loan3!G34</f>
        <v>27293.775922950965</v>
      </c>
    </row>
    <row r="35" spans="1:9" x14ac:dyDescent="0.2">
      <c r="A35">
        <f t="shared" si="3"/>
        <v>34</v>
      </c>
      <c r="B35">
        <f t="shared" si="2"/>
        <v>3500000</v>
      </c>
      <c r="C35">
        <f>loan1!C35</f>
        <v>0</v>
      </c>
      <c r="D35">
        <f t="shared" si="0"/>
        <v>3632706.2240770492</v>
      </c>
      <c r="E35">
        <f t="shared" si="1"/>
        <v>3660000</v>
      </c>
      <c r="G35">
        <f>loan3!C35</f>
        <v>4848.9711524744171</v>
      </c>
      <c r="H35">
        <v>0</v>
      </c>
      <c r="I35">
        <f>loan3!G35</f>
        <v>27293.775922950972</v>
      </c>
    </row>
    <row r="36" spans="1:9" x14ac:dyDescent="0.2">
      <c r="A36">
        <f t="shared" si="3"/>
        <v>35</v>
      </c>
      <c r="B36">
        <f t="shared" si="2"/>
        <v>3600000</v>
      </c>
      <c r="C36">
        <f>loan1!C36</f>
        <v>0</v>
      </c>
      <c r="D36">
        <f t="shared" si="0"/>
        <v>3732706.2240770492</v>
      </c>
      <c r="E36">
        <f t="shared" si="1"/>
        <v>3760000</v>
      </c>
      <c r="G36">
        <f>loan3!C36</f>
        <v>4572.9000537975553</v>
      </c>
      <c r="H36">
        <v>0</v>
      </c>
      <c r="I36">
        <f>loan3!G36</f>
        <v>27293.775922950976</v>
      </c>
    </row>
    <row r="37" spans="1:9" x14ac:dyDescent="0.2">
      <c r="A37">
        <f t="shared" si="3"/>
        <v>36</v>
      </c>
      <c r="B37">
        <f t="shared" si="2"/>
        <v>3700000</v>
      </c>
      <c r="C37">
        <f>loan1!C37</f>
        <v>0</v>
      </c>
      <c r="D37">
        <f t="shared" si="0"/>
        <v>3832706.2240770492</v>
      </c>
      <c r="E37">
        <f t="shared" si="1"/>
        <v>3860000</v>
      </c>
      <c r="G37">
        <f>loan3!C37</f>
        <v>4293.4332806069679</v>
      </c>
      <c r="H37">
        <v>0</v>
      </c>
      <c r="I37">
        <f>loan3!G37</f>
        <v>27293.775922950972</v>
      </c>
    </row>
    <row r="38" spans="1:9" x14ac:dyDescent="0.2">
      <c r="A38">
        <f t="shared" si="3"/>
        <v>37</v>
      </c>
      <c r="B38">
        <f t="shared" si="2"/>
        <v>3800000</v>
      </c>
      <c r="C38">
        <f>loan1!C38</f>
        <v>0</v>
      </c>
      <c r="D38">
        <f t="shared" si="0"/>
        <v>3932706.2240770492</v>
      </c>
      <c r="E38">
        <f t="shared" si="1"/>
        <v>3960000</v>
      </c>
      <c r="G38">
        <f>loan3!C38</f>
        <v>4010.5290661061372</v>
      </c>
      <c r="H38">
        <v>0</v>
      </c>
      <c r="I38">
        <f>loan3!G38</f>
        <v>27293.775922950976</v>
      </c>
    </row>
    <row r="39" spans="1:9" x14ac:dyDescent="0.2">
      <c r="A39">
        <f t="shared" si="3"/>
        <v>38</v>
      </c>
      <c r="B39">
        <f t="shared" si="2"/>
        <v>3900000</v>
      </c>
      <c r="C39">
        <f>loan1!C39</f>
        <v>0</v>
      </c>
      <c r="D39">
        <f t="shared" si="0"/>
        <v>4032706.2240770492</v>
      </c>
      <c r="E39">
        <f t="shared" si="1"/>
        <v>4060000</v>
      </c>
      <c r="G39">
        <f>loan3!C39</f>
        <v>3724.145129766946</v>
      </c>
      <c r="H39">
        <v>0</v>
      </c>
      <c r="I39">
        <f>loan3!G39</f>
        <v>27293.775922950957</v>
      </c>
    </row>
    <row r="40" spans="1:9" x14ac:dyDescent="0.2">
      <c r="A40">
        <f t="shared" si="3"/>
        <v>39</v>
      </c>
      <c r="B40">
        <f t="shared" si="2"/>
        <v>4000000</v>
      </c>
      <c r="C40">
        <f>loan1!C40</f>
        <v>0</v>
      </c>
      <c r="D40">
        <f t="shared" si="0"/>
        <v>4132706.2240770492</v>
      </c>
      <c r="E40">
        <f t="shared" si="1"/>
        <v>4160000</v>
      </c>
      <c r="G40">
        <f>loan3!C40</f>
        <v>3434.2386710107821</v>
      </c>
      <c r="H40">
        <v>0</v>
      </c>
      <c r="I40">
        <f>loan3!G40</f>
        <v>27293.775922950957</v>
      </c>
    </row>
    <row r="41" spans="1:9" x14ac:dyDescent="0.2">
      <c r="A41">
        <f t="shared" si="3"/>
        <v>40</v>
      </c>
      <c r="B41">
        <f t="shared" si="2"/>
        <v>4100000</v>
      </c>
      <c r="C41">
        <f>loan1!C41</f>
        <v>0</v>
      </c>
      <c r="D41">
        <f t="shared" si="0"/>
        <v>4232706.2240770487</v>
      </c>
      <c r="E41">
        <f t="shared" si="1"/>
        <v>4260000</v>
      </c>
      <c r="G41">
        <f>loan3!C41</f>
        <v>3140.766362811918</v>
      </c>
      <c r="H41">
        <v>0</v>
      </c>
      <c r="I41">
        <f>loan3!G41</f>
        <v>27293.77592295099</v>
      </c>
    </row>
    <row r="42" spans="1:9" x14ac:dyDescent="0.2">
      <c r="A42">
        <f t="shared" si="3"/>
        <v>41</v>
      </c>
      <c r="B42">
        <f t="shared" si="2"/>
        <v>4200000</v>
      </c>
      <c r="C42">
        <f>loan1!C42</f>
        <v>0</v>
      </c>
      <c r="D42">
        <f t="shared" si="0"/>
        <v>4332706.2240770487</v>
      </c>
      <c r="E42">
        <f t="shared" si="1"/>
        <v>4360000</v>
      </c>
      <c r="G42">
        <f>loan3!C42</f>
        <v>2843.6843452222074</v>
      </c>
      <c r="H42">
        <v>0</v>
      </c>
      <c r="I42">
        <f>loan3!G42</f>
        <v>27293.775922950976</v>
      </c>
    </row>
    <row r="43" spans="1:9" x14ac:dyDescent="0.2">
      <c r="A43">
        <f t="shared" si="3"/>
        <v>42</v>
      </c>
      <c r="B43">
        <f t="shared" si="2"/>
        <v>4300000</v>
      </c>
      <c r="C43">
        <f>loan1!C43</f>
        <v>0</v>
      </c>
      <c r="D43">
        <f t="shared" si="0"/>
        <v>4432706.2240770487</v>
      </c>
      <c r="E43">
        <f t="shared" si="1"/>
        <v>4460000</v>
      </c>
      <c r="G43">
        <f>loan3!C43</f>
        <v>2542.9482188161437</v>
      </c>
      <c r="H43">
        <v>0</v>
      </c>
      <c r="I43">
        <f>loan3!G43</f>
        <v>27293.775922950987</v>
      </c>
    </row>
    <row r="44" spans="1:9" x14ac:dyDescent="0.2">
      <c r="A44">
        <f t="shared" si="3"/>
        <v>43</v>
      </c>
      <c r="B44">
        <f t="shared" si="2"/>
        <v>4400000</v>
      </c>
      <c r="C44">
        <f>loan1!C44</f>
        <v>0</v>
      </c>
      <c r="D44">
        <f t="shared" si="0"/>
        <v>4532706.2240770487</v>
      </c>
      <c r="E44">
        <f t="shared" si="1"/>
        <v>4560000</v>
      </c>
      <c r="G44">
        <f>loan3!C44</f>
        <v>2238.5130380552851</v>
      </c>
      <c r="H44">
        <v>0</v>
      </c>
      <c r="I44">
        <f>loan3!G44</f>
        <v>27293.775922950961</v>
      </c>
    </row>
    <row r="45" spans="1:9" x14ac:dyDescent="0.2">
      <c r="A45">
        <f t="shared" si="3"/>
        <v>44</v>
      </c>
      <c r="B45">
        <f t="shared" si="2"/>
        <v>4500000</v>
      </c>
      <c r="C45">
        <f>loan1!C45</f>
        <v>0</v>
      </c>
      <c r="D45">
        <f t="shared" si="0"/>
        <v>4632706.2240770487</v>
      </c>
      <c r="E45">
        <f t="shared" si="1"/>
        <v>4660000</v>
      </c>
      <c r="G45">
        <f>loan3!C45</f>
        <v>1930.3333045710683</v>
      </c>
      <c r="H45">
        <v>0</v>
      </c>
      <c r="I45">
        <f>loan3!G45</f>
        <v>27293.775922950979</v>
      </c>
    </row>
    <row r="46" spans="1:9" x14ac:dyDescent="0.2">
      <c r="A46">
        <f t="shared" si="3"/>
        <v>45</v>
      </c>
      <c r="B46">
        <f t="shared" si="2"/>
        <v>4600000</v>
      </c>
      <c r="C46">
        <f>loan1!C46</f>
        <v>0</v>
      </c>
      <c r="D46">
        <f t="shared" si="0"/>
        <v>4732706.2240770487</v>
      </c>
      <c r="E46">
        <f t="shared" si="1"/>
        <v>4760000</v>
      </c>
      <c r="G46">
        <f>loan3!C46</f>
        <v>1618.3629603649954</v>
      </c>
      <c r="H46">
        <v>0</v>
      </c>
      <c r="I46">
        <f>loan3!G46</f>
        <v>27293.775922950947</v>
      </c>
    </row>
    <row r="47" spans="1:9" x14ac:dyDescent="0.2">
      <c r="A47">
        <f t="shared" si="3"/>
        <v>46</v>
      </c>
      <c r="B47">
        <f t="shared" si="2"/>
        <v>4700000</v>
      </c>
      <c r="C47">
        <f>loan1!C47</f>
        <v>0</v>
      </c>
      <c r="D47">
        <f t="shared" si="0"/>
        <v>4832706.2240770487</v>
      </c>
      <c r="E47">
        <f t="shared" si="1"/>
        <v>4860000</v>
      </c>
      <c r="G47">
        <f>loan3!C47</f>
        <v>1302.555380925188</v>
      </c>
      <c r="H47">
        <v>0</v>
      </c>
      <c r="I47">
        <f>loan3!G47</f>
        <v>27293.775922950954</v>
      </c>
    </row>
    <row r="48" spans="1:9" x14ac:dyDescent="0.2">
      <c r="A48">
        <f t="shared" si="3"/>
        <v>47</v>
      </c>
      <c r="B48">
        <f t="shared" si="2"/>
        <v>4800000</v>
      </c>
      <c r="C48">
        <f>loan1!C48</f>
        <v>0</v>
      </c>
      <c r="D48">
        <f t="shared" si="0"/>
        <v>4932706.2240770487</v>
      </c>
      <c r="E48">
        <f t="shared" si="1"/>
        <v>4960000</v>
      </c>
      <c r="G48">
        <f>loan3!C48</f>
        <v>982.86336825827118</v>
      </c>
      <c r="H48">
        <v>0</v>
      </c>
      <c r="I48">
        <f>loan3!G48</f>
        <v>27293.77592295091</v>
      </c>
    </row>
    <row r="49" spans="1:9" x14ac:dyDescent="0.2">
      <c r="A49">
        <f t="shared" si="3"/>
        <v>48</v>
      </c>
      <c r="B49">
        <f t="shared" si="2"/>
        <v>4900000</v>
      </c>
      <c r="C49">
        <f>loan1!C49</f>
        <v>0</v>
      </c>
      <c r="D49">
        <f t="shared" si="0"/>
        <v>5032706.2240770487</v>
      </c>
      <c r="E49">
        <f t="shared" si="1"/>
        <v>5060000</v>
      </c>
      <c r="G49">
        <f>loan3!C49</f>
        <v>659.23914383555177</v>
      </c>
      <c r="H49">
        <v>0</v>
      </c>
      <c r="I49">
        <f>loan3!G49</f>
        <v>27293.775922951045</v>
      </c>
    </row>
    <row r="50" spans="1:9" x14ac:dyDescent="0.2">
      <c r="A50">
        <f t="shared" si="3"/>
        <v>49</v>
      </c>
      <c r="B50">
        <f t="shared" si="2"/>
        <v>5000000</v>
      </c>
      <c r="C50">
        <f>loan1!C50</f>
        <v>0</v>
      </c>
      <c r="D50">
        <f t="shared" si="0"/>
        <v>5132706.2240770487</v>
      </c>
      <c r="E50">
        <f t="shared" si="1"/>
        <v>5160000</v>
      </c>
      <c r="G50">
        <f>loan3!C50</f>
        <v>331.63434145243122</v>
      </c>
      <c r="H50">
        <v>0</v>
      </c>
      <c r="I50">
        <f>loan3!G50</f>
        <v>27293.775922950987</v>
      </c>
    </row>
    <row r="51" spans="1:9" x14ac:dyDescent="0.2">
      <c r="A51">
        <f t="shared" si="3"/>
        <v>50</v>
      </c>
      <c r="B51">
        <f t="shared" si="2"/>
        <v>5100000</v>
      </c>
      <c r="C51">
        <f>loan1!C51</f>
        <v>0</v>
      </c>
      <c r="D51">
        <f t="shared" si="0"/>
        <v>5260000</v>
      </c>
      <c r="E51">
        <f t="shared" si="1"/>
        <v>5260000</v>
      </c>
      <c r="G51">
        <f>loan3!C51</f>
        <v>0</v>
      </c>
      <c r="H51">
        <v>0</v>
      </c>
      <c r="I51">
        <v>0</v>
      </c>
    </row>
    <row r="52" spans="1:9" x14ac:dyDescent="0.2">
      <c r="A52">
        <f t="shared" si="3"/>
        <v>51</v>
      </c>
      <c r="B52">
        <f t="shared" si="2"/>
        <v>5200000</v>
      </c>
      <c r="C52">
        <f>loan1!C52</f>
        <v>0</v>
      </c>
      <c r="D52">
        <f t="shared" si="0"/>
        <v>5360000</v>
      </c>
      <c r="E52">
        <f t="shared" si="1"/>
        <v>5360000</v>
      </c>
      <c r="G52">
        <f>loan3!C52</f>
        <v>0</v>
      </c>
      <c r="H52">
        <v>0</v>
      </c>
      <c r="I52">
        <v>0</v>
      </c>
    </row>
    <row r="53" spans="1:9" x14ac:dyDescent="0.2">
      <c r="A53">
        <f t="shared" si="3"/>
        <v>52</v>
      </c>
    </row>
  </sheetData>
  <phoneticPr fontId="2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9D7C0-790C-254A-B47E-D5E759B7F9A9}">
  <dimension ref="A1:K51"/>
  <sheetViews>
    <sheetView workbookViewId="0">
      <selection activeCell="G2" sqref="G2"/>
    </sheetView>
  </sheetViews>
  <sheetFormatPr baseColWidth="10" defaultRowHeight="15" x14ac:dyDescent="0.2"/>
  <sheetData>
    <row r="1" spans="1:11" x14ac:dyDescent="0.2">
      <c r="A1" s="1" t="s">
        <v>0</v>
      </c>
      <c r="B1" s="1" t="s">
        <v>1</v>
      </c>
      <c r="C1" s="1" t="s">
        <v>10</v>
      </c>
      <c r="D1" s="1" t="s">
        <v>11</v>
      </c>
      <c r="E1" s="1" t="s">
        <v>2</v>
      </c>
      <c r="F1" s="2" t="s">
        <v>6</v>
      </c>
      <c r="G1" s="2" t="s">
        <v>12</v>
      </c>
      <c r="H1" s="2" t="s">
        <v>7</v>
      </c>
      <c r="I1" s="2" t="s">
        <v>8</v>
      </c>
      <c r="J1" s="2" t="s">
        <v>9</v>
      </c>
      <c r="K1" s="2" t="s">
        <v>13</v>
      </c>
    </row>
    <row r="2" spans="1:11" x14ac:dyDescent="0.2">
      <c r="A2">
        <v>1</v>
      </c>
      <c r="B2">
        <f>J2</f>
        <v>1000000</v>
      </c>
      <c r="C2" s="7">
        <f>IF(B2*$F$2&lt;=0,0,B2*$F$2)</f>
        <v>12300</v>
      </c>
      <c r="D2">
        <f>G2-C2</f>
        <v>14993.775922950983</v>
      </c>
      <c r="E2">
        <f>IF(B2-D2&lt;=0,0,B2-D2)</f>
        <v>985006.22407704906</v>
      </c>
      <c r="F2">
        <v>1.23E-2</v>
      </c>
      <c r="G2">
        <f>B2*($F$2/(1-(1+$F$2)^(-$H$2+ROW(A2)-1)))</f>
        <v>27293.775922950983</v>
      </c>
      <c r="H2">
        <v>50</v>
      </c>
      <c r="I2">
        <v>1</v>
      </c>
      <c r="J2">
        <v>1000000</v>
      </c>
      <c r="K2">
        <f>SUM(C2:C31)</f>
        <v>278749.90321441676</v>
      </c>
    </row>
    <row r="3" spans="1:11" x14ac:dyDescent="0.2">
      <c r="A3">
        <v>2</v>
      </c>
      <c r="B3">
        <f>E2</f>
        <v>985006.22407704906</v>
      </c>
      <c r="C3" s="7">
        <f t="shared" ref="C3:C51" si="0">IF(B3*$F$2&lt;=0,0,B3*$F$2)</f>
        <v>12115.576556147704</v>
      </c>
      <c r="D3">
        <f t="shared" ref="D3:D51" si="1">G3-C3</f>
        <v>15178.199366803276</v>
      </c>
      <c r="E3">
        <f t="shared" ref="E3:E51" si="2">IF(B3-D3&lt;=0,0,B3-D3)</f>
        <v>969828.02471024578</v>
      </c>
      <c r="G3">
        <f t="shared" ref="G3:G51" si="3">B3*($F$2/(1-(1+$F$2)^(-$H$2+ROW(A3)-1)))</f>
        <v>27293.775922950979</v>
      </c>
    </row>
    <row r="4" spans="1:11" x14ac:dyDescent="0.2">
      <c r="A4">
        <v>3</v>
      </c>
      <c r="B4">
        <f t="shared" ref="B4:B51" si="4">E3</f>
        <v>969828.02471024578</v>
      </c>
      <c r="C4" s="7">
        <f t="shared" si="0"/>
        <v>11928.884703936023</v>
      </c>
      <c r="D4">
        <f t="shared" si="1"/>
        <v>15364.891219014957</v>
      </c>
      <c r="E4">
        <f t="shared" si="2"/>
        <v>954463.13349123078</v>
      </c>
      <c r="G4">
        <f t="shared" si="3"/>
        <v>27293.775922950979</v>
      </c>
    </row>
    <row r="5" spans="1:11" x14ac:dyDescent="0.2">
      <c r="A5">
        <v>4</v>
      </c>
      <c r="B5">
        <f t="shared" si="4"/>
        <v>954463.13349123078</v>
      </c>
      <c r="C5" s="7">
        <f t="shared" si="0"/>
        <v>11739.896541942138</v>
      </c>
      <c r="D5">
        <f t="shared" si="1"/>
        <v>15553.879381008841</v>
      </c>
      <c r="E5">
        <f t="shared" si="2"/>
        <v>938909.25411022198</v>
      </c>
      <c r="G5">
        <f t="shared" si="3"/>
        <v>27293.775922950979</v>
      </c>
    </row>
    <row r="6" spans="1:11" x14ac:dyDescent="0.2">
      <c r="A6">
        <v>5</v>
      </c>
      <c r="B6">
        <f t="shared" si="4"/>
        <v>938909.25411022198</v>
      </c>
      <c r="C6" s="7">
        <f t="shared" si="0"/>
        <v>11548.58382555573</v>
      </c>
      <c r="D6">
        <f t="shared" si="1"/>
        <v>15745.192097395253</v>
      </c>
      <c r="E6">
        <f t="shared" si="2"/>
        <v>923164.06201282667</v>
      </c>
      <c r="G6">
        <f t="shared" si="3"/>
        <v>27293.775922950983</v>
      </c>
    </row>
    <row r="7" spans="1:11" x14ac:dyDescent="0.2">
      <c r="A7">
        <v>6</v>
      </c>
      <c r="B7">
        <f t="shared" si="4"/>
        <v>923164.06201282667</v>
      </c>
      <c r="C7" s="7">
        <f t="shared" si="0"/>
        <v>11354.917962757769</v>
      </c>
      <c r="D7">
        <f t="shared" si="1"/>
        <v>15938.857960193211</v>
      </c>
      <c r="E7">
        <f t="shared" si="2"/>
        <v>907225.20405263349</v>
      </c>
      <c r="G7">
        <f t="shared" si="3"/>
        <v>27293.775922950979</v>
      </c>
    </row>
    <row r="8" spans="1:11" x14ac:dyDescent="0.2">
      <c r="A8">
        <v>7</v>
      </c>
      <c r="B8">
        <f t="shared" si="4"/>
        <v>907225.20405263349</v>
      </c>
      <c r="C8" s="7">
        <f t="shared" si="0"/>
        <v>11158.870009847393</v>
      </c>
      <c r="D8">
        <f t="shared" si="1"/>
        <v>16134.905913103583</v>
      </c>
      <c r="E8">
        <f t="shared" si="2"/>
        <v>891090.29813952988</v>
      </c>
      <c r="G8">
        <f t="shared" si="3"/>
        <v>27293.775922950976</v>
      </c>
    </row>
    <row r="9" spans="1:11" x14ac:dyDescent="0.2">
      <c r="A9">
        <v>8</v>
      </c>
      <c r="B9">
        <f t="shared" si="4"/>
        <v>891090.29813952988</v>
      </c>
      <c r="C9" s="7">
        <f t="shared" si="0"/>
        <v>10960.410667116217</v>
      </c>
      <c r="D9">
        <f t="shared" si="1"/>
        <v>16333.365255834762</v>
      </c>
      <c r="E9">
        <f t="shared" si="2"/>
        <v>874756.93288369512</v>
      </c>
      <c r="G9">
        <f t="shared" si="3"/>
        <v>27293.775922950979</v>
      </c>
    </row>
    <row r="10" spans="1:11" x14ac:dyDescent="0.2">
      <c r="A10">
        <v>9</v>
      </c>
      <c r="B10">
        <f t="shared" si="4"/>
        <v>874756.93288369512</v>
      </c>
      <c r="C10" s="7">
        <f t="shared" si="0"/>
        <v>10759.51027446945</v>
      </c>
      <c r="D10">
        <f t="shared" si="1"/>
        <v>16534.265648481531</v>
      </c>
      <c r="E10">
        <f t="shared" si="2"/>
        <v>858222.66723521356</v>
      </c>
      <c r="G10">
        <f t="shared" si="3"/>
        <v>27293.775922950983</v>
      </c>
    </row>
    <row r="11" spans="1:11" x14ac:dyDescent="0.2">
      <c r="A11">
        <v>10</v>
      </c>
      <c r="B11">
        <f t="shared" si="4"/>
        <v>858222.66723521356</v>
      </c>
      <c r="C11" s="7">
        <f t="shared" si="0"/>
        <v>10556.138806993127</v>
      </c>
      <c r="D11">
        <f t="shared" si="1"/>
        <v>16737.637115957852</v>
      </c>
      <c r="E11">
        <f t="shared" si="2"/>
        <v>841485.03011925577</v>
      </c>
      <c r="G11">
        <f t="shared" si="3"/>
        <v>27293.775922950979</v>
      </c>
    </row>
    <row r="12" spans="1:11" x14ac:dyDescent="0.2">
      <c r="A12">
        <v>11</v>
      </c>
      <c r="B12">
        <f t="shared" si="4"/>
        <v>841485.03011925577</v>
      </c>
      <c r="C12" s="7">
        <f t="shared" si="0"/>
        <v>10350.265870466847</v>
      </c>
      <c r="D12">
        <f t="shared" si="1"/>
        <v>16943.51005248414</v>
      </c>
      <c r="E12">
        <f t="shared" si="2"/>
        <v>824541.52006677166</v>
      </c>
      <c r="G12">
        <f t="shared" si="3"/>
        <v>27293.775922950987</v>
      </c>
    </row>
    <row r="13" spans="1:11" x14ac:dyDescent="0.2">
      <c r="A13">
        <v>12</v>
      </c>
      <c r="B13">
        <f t="shared" si="4"/>
        <v>824541.52006677166</v>
      </c>
      <c r="C13" s="7">
        <f t="shared" si="0"/>
        <v>10141.860696821292</v>
      </c>
      <c r="D13">
        <f t="shared" si="1"/>
        <v>17151.915226129695</v>
      </c>
      <c r="E13">
        <f t="shared" si="2"/>
        <v>807389.60484064196</v>
      </c>
      <c r="G13">
        <f t="shared" si="3"/>
        <v>27293.775922950987</v>
      </c>
    </row>
    <row r="14" spans="1:11" x14ac:dyDescent="0.2">
      <c r="A14">
        <v>13</v>
      </c>
      <c r="B14">
        <f t="shared" si="4"/>
        <v>807389.60484064196</v>
      </c>
      <c r="C14" s="7">
        <f t="shared" si="0"/>
        <v>9930.8921395398957</v>
      </c>
      <c r="D14">
        <f t="shared" si="1"/>
        <v>17362.883783411089</v>
      </c>
      <c r="E14">
        <f t="shared" si="2"/>
        <v>790026.72105723084</v>
      </c>
      <c r="G14">
        <f t="shared" si="3"/>
        <v>27293.775922950983</v>
      </c>
    </row>
    <row r="15" spans="1:11" x14ac:dyDescent="0.2">
      <c r="A15">
        <v>14</v>
      </c>
      <c r="B15">
        <f t="shared" si="4"/>
        <v>790026.72105723084</v>
      </c>
      <c r="C15" s="7">
        <f t="shared" si="0"/>
        <v>9717.3286690039386</v>
      </c>
      <c r="D15">
        <f t="shared" si="1"/>
        <v>17576.447253947041</v>
      </c>
      <c r="E15">
        <f t="shared" si="2"/>
        <v>772450.27380328381</v>
      </c>
      <c r="G15">
        <f t="shared" si="3"/>
        <v>27293.775922950979</v>
      </c>
    </row>
    <row r="16" spans="1:11" x14ac:dyDescent="0.2">
      <c r="A16">
        <v>15</v>
      </c>
      <c r="B16">
        <f t="shared" si="4"/>
        <v>772450.27380328381</v>
      </c>
      <c r="C16" s="7">
        <f t="shared" si="0"/>
        <v>9501.1383677803915</v>
      </c>
      <c r="D16">
        <f t="shared" si="1"/>
        <v>17792.637555170586</v>
      </c>
      <c r="E16">
        <f t="shared" si="2"/>
        <v>754657.63624811324</v>
      </c>
      <c r="G16">
        <f t="shared" si="3"/>
        <v>27293.775922950976</v>
      </c>
    </row>
    <row r="17" spans="1:7" x14ac:dyDescent="0.2">
      <c r="A17">
        <v>16</v>
      </c>
      <c r="B17">
        <f t="shared" si="4"/>
        <v>754657.63624811324</v>
      </c>
      <c r="C17" s="7">
        <f t="shared" si="0"/>
        <v>9282.2889258517935</v>
      </c>
      <c r="D17">
        <f t="shared" si="1"/>
        <v>18011.486997099189</v>
      </c>
      <c r="E17">
        <f t="shared" si="2"/>
        <v>736646.14925101399</v>
      </c>
      <c r="G17">
        <f t="shared" si="3"/>
        <v>27293.775922950983</v>
      </c>
    </row>
    <row r="18" spans="1:7" x14ac:dyDescent="0.2">
      <c r="A18">
        <v>17</v>
      </c>
      <c r="B18">
        <f t="shared" si="4"/>
        <v>736646.14925101399</v>
      </c>
      <c r="C18" s="7">
        <f t="shared" si="0"/>
        <v>9060.747635787473</v>
      </c>
      <c r="D18">
        <f t="shared" si="1"/>
        <v>18233.028287163506</v>
      </c>
      <c r="E18">
        <f t="shared" si="2"/>
        <v>718413.12096385052</v>
      </c>
      <c r="G18">
        <f t="shared" si="3"/>
        <v>27293.775922950979</v>
      </c>
    </row>
    <row r="19" spans="1:7" x14ac:dyDescent="0.2">
      <c r="A19">
        <v>18</v>
      </c>
      <c r="B19">
        <f t="shared" si="4"/>
        <v>718413.12096385052</v>
      </c>
      <c r="C19" s="7">
        <f t="shared" si="0"/>
        <v>8836.4813878553614</v>
      </c>
      <c r="D19">
        <f t="shared" si="1"/>
        <v>18457.294535095614</v>
      </c>
      <c r="E19">
        <f t="shared" si="2"/>
        <v>699955.82642875495</v>
      </c>
      <c r="G19">
        <f t="shared" si="3"/>
        <v>27293.775922950976</v>
      </c>
    </row>
    <row r="20" spans="1:7" x14ac:dyDescent="0.2">
      <c r="A20">
        <v>19</v>
      </c>
      <c r="B20">
        <f t="shared" si="4"/>
        <v>699955.82642875495</v>
      </c>
      <c r="C20" s="7">
        <f t="shared" si="0"/>
        <v>8609.4566650736851</v>
      </c>
      <c r="D20">
        <f t="shared" si="1"/>
        <v>18684.319257877287</v>
      </c>
      <c r="E20">
        <f t="shared" si="2"/>
        <v>681271.50717087765</v>
      </c>
      <c r="G20">
        <f t="shared" si="3"/>
        <v>27293.775922950972</v>
      </c>
    </row>
    <row r="21" spans="1:7" x14ac:dyDescent="0.2">
      <c r="A21">
        <v>20</v>
      </c>
      <c r="B21">
        <f t="shared" si="4"/>
        <v>681271.50717087765</v>
      </c>
      <c r="C21" s="7">
        <f t="shared" si="0"/>
        <v>8379.6395382017945</v>
      </c>
      <c r="D21">
        <f t="shared" si="1"/>
        <v>18914.136384749188</v>
      </c>
      <c r="E21">
        <f t="shared" si="2"/>
        <v>662357.37078612845</v>
      </c>
      <c r="G21">
        <f t="shared" si="3"/>
        <v>27293.775922950983</v>
      </c>
    </row>
    <row r="22" spans="1:7" x14ac:dyDescent="0.2">
      <c r="A22">
        <v>21</v>
      </c>
      <c r="B22">
        <f t="shared" si="4"/>
        <v>662357.37078612845</v>
      </c>
      <c r="C22" s="7">
        <f t="shared" si="0"/>
        <v>8146.9956606693804</v>
      </c>
      <c r="D22">
        <f t="shared" si="1"/>
        <v>19146.780262281602</v>
      </c>
      <c r="E22">
        <f t="shared" si="2"/>
        <v>643210.5905238468</v>
      </c>
      <c r="G22">
        <f t="shared" si="3"/>
        <v>27293.775922950983</v>
      </c>
    </row>
    <row r="23" spans="1:7" x14ac:dyDescent="0.2">
      <c r="A23">
        <v>22</v>
      </c>
      <c r="B23">
        <f t="shared" si="4"/>
        <v>643210.5905238468</v>
      </c>
      <c r="C23" s="7">
        <f t="shared" si="0"/>
        <v>7911.4902634433156</v>
      </c>
      <c r="D23">
        <f t="shared" si="1"/>
        <v>19382.285659507656</v>
      </c>
      <c r="E23">
        <f t="shared" si="2"/>
        <v>623828.30486433918</v>
      </c>
      <c r="G23">
        <f t="shared" si="3"/>
        <v>27293.775922950972</v>
      </c>
    </row>
    <row r="24" spans="1:7" x14ac:dyDescent="0.2">
      <c r="A24">
        <v>23</v>
      </c>
      <c r="B24">
        <f t="shared" si="4"/>
        <v>623828.30486433918</v>
      </c>
      <c r="C24" s="7">
        <f t="shared" si="0"/>
        <v>7673.088149831372</v>
      </c>
      <c r="D24">
        <f t="shared" si="1"/>
        <v>19620.6877731196</v>
      </c>
      <c r="E24">
        <f t="shared" si="2"/>
        <v>604207.61709121964</v>
      </c>
      <c r="G24">
        <f t="shared" si="3"/>
        <v>27293.775922950972</v>
      </c>
    </row>
    <row r="25" spans="1:7" x14ac:dyDescent="0.2">
      <c r="A25">
        <v>24</v>
      </c>
      <c r="B25">
        <f t="shared" si="4"/>
        <v>604207.61709121964</v>
      </c>
      <c r="C25" s="7">
        <f t="shared" si="0"/>
        <v>7431.7536902220018</v>
      </c>
      <c r="D25">
        <f t="shared" si="1"/>
        <v>19862.022232728978</v>
      </c>
      <c r="E25">
        <f t="shared" si="2"/>
        <v>584345.59485849063</v>
      </c>
      <c r="G25">
        <f t="shared" si="3"/>
        <v>27293.775922950979</v>
      </c>
    </row>
    <row r="26" spans="1:7" x14ac:dyDescent="0.2">
      <c r="A26">
        <v>25</v>
      </c>
      <c r="B26">
        <f t="shared" si="4"/>
        <v>584345.59485849063</v>
      </c>
      <c r="C26" s="7">
        <f t="shared" si="0"/>
        <v>7187.4508167594349</v>
      </c>
      <c r="D26">
        <f t="shared" si="1"/>
        <v>20106.32510619154</v>
      </c>
      <c r="E26">
        <f t="shared" si="2"/>
        <v>564239.26975229906</v>
      </c>
      <c r="G26">
        <f t="shared" si="3"/>
        <v>27293.775922950976</v>
      </c>
    </row>
    <row r="27" spans="1:7" x14ac:dyDescent="0.2">
      <c r="A27">
        <v>26</v>
      </c>
      <c r="B27">
        <f t="shared" si="4"/>
        <v>564239.26975229906</v>
      </c>
      <c r="C27" s="7">
        <f t="shared" si="0"/>
        <v>6940.143017953279</v>
      </c>
      <c r="D27">
        <f t="shared" si="1"/>
        <v>20353.632904997703</v>
      </c>
      <c r="E27">
        <f t="shared" si="2"/>
        <v>543885.63684730139</v>
      </c>
      <c r="G27">
        <f t="shared" si="3"/>
        <v>27293.775922950983</v>
      </c>
    </row>
    <row r="28" spans="1:7" x14ac:dyDescent="0.2">
      <c r="A28">
        <v>27</v>
      </c>
      <c r="B28">
        <f t="shared" si="4"/>
        <v>543885.63684730139</v>
      </c>
      <c r="C28" s="7">
        <f t="shared" si="0"/>
        <v>6689.7933332218072</v>
      </c>
      <c r="D28">
        <f t="shared" si="1"/>
        <v>20603.982589729159</v>
      </c>
      <c r="E28">
        <f t="shared" si="2"/>
        <v>523281.65425757226</v>
      </c>
      <c r="G28">
        <f t="shared" si="3"/>
        <v>27293.775922950968</v>
      </c>
    </row>
    <row r="29" spans="1:7" x14ac:dyDescent="0.2">
      <c r="A29">
        <v>28</v>
      </c>
      <c r="B29">
        <f t="shared" si="4"/>
        <v>523281.65425757226</v>
      </c>
      <c r="C29" s="7">
        <f t="shared" si="0"/>
        <v>6436.3643473681386</v>
      </c>
      <c r="D29">
        <f t="shared" si="1"/>
        <v>20857.411575582846</v>
      </c>
      <c r="E29">
        <f t="shared" si="2"/>
        <v>502424.24268198939</v>
      </c>
      <c r="G29">
        <f t="shared" si="3"/>
        <v>27293.775922950983</v>
      </c>
    </row>
    <row r="30" spans="1:7" x14ac:dyDescent="0.2">
      <c r="A30">
        <v>29</v>
      </c>
      <c r="B30">
        <f t="shared" si="4"/>
        <v>502424.24268198939</v>
      </c>
      <c r="C30" s="7">
        <f t="shared" si="0"/>
        <v>6179.8181849884695</v>
      </c>
      <c r="D30">
        <f t="shared" si="1"/>
        <v>21113.957737962497</v>
      </c>
      <c r="E30">
        <f t="shared" si="2"/>
        <v>481310.28494402691</v>
      </c>
      <c r="G30">
        <f t="shared" si="3"/>
        <v>27293.775922950965</v>
      </c>
    </row>
    <row r="31" spans="1:7" x14ac:dyDescent="0.2">
      <c r="A31">
        <f>A30+1</f>
        <v>30</v>
      </c>
      <c r="B31">
        <f t="shared" si="4"/>
        <v>481310.28494402691</v>
      </c>
      <c r="C31" s="7">
        <f t="shared" si="0"/>
        <v>5920.1165048115308</v>
      </c>
      <c r="D31">
        <f t="shared" si="1"/>
        <v>21373.659418139447</v>
      </c>
      <c r="E31">
        <f t="shared" si="2"/>
        <v>459936.62552588747</v>
      </c>
      <c r="G31">
        <f t="shared" si="3"/>
        <v>27293.775922950979</v>
      </c>
    </row>
    <row r="32" spans="1:7" x14ac:dyDescent="0.2">
      <c r="A32">
        <f t="shared" ref="A32:A51" si="5">A31+1</f>
        <v>31</v>
      </c>
      <c r="B32">
        <f t="shared" si="4"/>
        <v>459936.62552588747</v>
      </c>
      <c r="C32" s="7">
        <f t="shared" si="0"/>
        <v>5657.2204939684161</v>
      </c>
      <c r="D32">
        <f t="shared" si="1"/>
        <v>21636.55542898256</v>
      </c>
      <c r="E32">
        <f t="shared" si="2"/>
        <v>438300.07009690494</v>
      </c>
      <c r="G32">
        <f t="shared" si="3"/>
        <v>27293.775922950976</v>
      </c>
    </row>
    <row r="33" spans="1:7" x14ac:dyDescent="0.2">
      <c r="A33">
        <f t="shared" si="5"/>
        <v>32</v>
      </c>
      <c r="B33">
        <f t="shared" si="4"/>
        <v>438300.07009690494</v>
      </c>
      <c r="C33" s="7">
        <f t="shared" si="0"/>
        <v>5391.0908621919307</v>
      </c>
      <c r="D33">
        <f t="shared" si="1"/>
        <v>21902.685060759042</v>
      </c>
      <c r="E33">
        <f t="shared" si="2"/>
        <v>416397.38503614592</v>
      </c>
      <c r="G33">
        <f t="shared" si="3"/>
        <v>27293.775922950972</v>
      </c>
    </row>
    <row r="34" spans="1:7" x14ac:dyDescent="0.2">
      <c r="A34">
        <f t="shared" si="5"/>
        <v>33</v>
      </c>
      <c r="B34">
        <f t="shared" si="4"/>
        <v>416397.38503614592</v>
      </c>
      <c r="C34" s="7">
        <f t="shared" si="0"/>
        <v>5121.6878359445946</v>
      </c>
      <c r="D34">
        <f t="shared" si="1"/>
        <v>22172.08808700637</v>
      </c>
      <c r="E34">
        <f t="shared" si="2"/>
        <v>394225.29694913956</v>
      </c>
      <c r="G34">
        <f t="shared" si="3"/>
        <v>27293.775922950965</v>
      </c>
    </row>
    <row r="35" spans="1:7" x14ac:dyDescent="0.2">
      <c r="A35">
        <f t="shared" si="5"/>
        <v>34</v>
      </c>
      <c r="B35">
        <f t="shared" si="4"/>
        <v>394225.29694913956</v>
      </c>
      <c r="C35" s="7">
        <f t="shared" si="0"/>
        <v>4848.9711524744171</v>
      </c>
      <c r="D35">
        <f t="shared" si="1"/>
        <v>22444.804770476556</v>
      </c>
      <c r="E35">
        <f t="shared" si="2"/>
        <v>371780.49217866303</v>
      </c>
      <c r="G35">
        <f t="shared" si="3"/>
        <v>27293.775922950972</v>
      </c>
    </row>
    <row r="36" spans="1:7" x14ac:dyDescent="0.2">
      <c r="A36">
        <f t="shared" si="5"/>
        <v>35</v>
      </c>
      <c r="B36">
        <f t="shared" si="4"/>
        <v>371780.49217866303</v>
      </c>
      <c r="C36" s="7">
        <f t="shared" si="0"/>
        <v>4572.9000537975553</v>
      </c>
      <c r="D36">
        <f t="shared" si="1"/>
        <v>22720.87586915342</v>
      </c>
      <c r="E36">
        <f t="shared" si="2"/>
        <v>349059.61630950961</v>
      </c>
      <c r="G36">
        <f t="shared" si="3"/>
        <v>27293.775922950976</v>
      </c>
    </row>
    <row r="37" spans="1:7" x14ac:dyDescent="0.2">
      <c r="A37">
        <f t="shared" si="5"/>
        <v>36</v>
      </c>
      <c r="B37">
        <f t="shared" si="4"/>
        <v>349059.61630950961</v>
      </c>
      <c r="C37" s="7">
        <f t="shared" si="0"/>
        <v>4293.4332806069679</v>
      </c>
      <c r="D37">
        <f t="shared" si="1"/>
        <v>23000.342642344003</v>
      </c>
      <c r="E37">
        <f t="shared" si="2"/>
        <v>326059.2736671656</v>
      </c>
      <c r="G37">
        <f t="shared" si="3"/>
        <v>27293.775922950972</v>
      </c>
    </row>
    <row r="38" spans="1:7" x14ac:dyDescent="0.2">
      <c r="A38">
        <f t="shared" si="5"/>
        <v>37</v>
      </c>
      <c r="B38">
        <f t="shared" si="4"/>
        <v>326059.2736671656</v>
      </c>
      <c r="C38" s="7">
        <f t="shared" si="0"/>
        <v>4010.5290661061372</v>
      </c>
      <c r="D38">
        <f t="shared" si="1"/>
        <v>23283.246856844838</v>
      </c>
      <c r="E38">
        <f t="shared" si="2"/>
        <v>302776.02681032079</v>
      </c>
      <c r="G38">
        <f t="shared" si="3"/>
        <v>27293.775922950976</v>
      </c>
    </row>
    <row r="39" spans="1:7" x14ac:dyDescent="0.2">
      <c r="A39">
        <f t="shared" si="5"/>
        <v>38</v>
      </c>
      <c r="B39">
        <f t="shared" si="4"/>
        <v>302776.02681032079</v>
      </c>
      <c r="C39" s="7">
        <f t="shared" si="0"/>
        <v>3724.145129766946</v>
      </c>
      <c r="D39">
        <f t="shared" si="1"/>
        <v>23569.630793184013</v>
      </c>
      <c r="E39">
        <f t="shared" si="2"/>
        <v>279206.39601713675</v>
      </c>
      <c r="G39">
        <f t="shared" si="3"/>
        <v>27293.775922950957</v>
      </c>
    </row>
    <row r="40" spans="1:7" x14ac:dyDescent="0.2">
      <c r="A40">
        <f t="shared" si="5"/>
        <v>39</v>
      </c>
      <c r="B40">
        <f t="shared" si="4"/>
        <v>279206.39601713675</v>
      </c>
      <c r="C40" s="7">
        <f t="shared" si="0"/>
        <v>3434.2386710107821</v>
      </c>
      <c r="D40">
        <f t="shared" si="1"/>
        <v>23859.537251940175</v>
      </c>
      <c r="E40">
        <f t="shared" si="2"/>
        <v>255346.85876519658</v>
      </c>
      <c r="G40">
        <f t="shared" si="3"/>
        <v>27293.775922950957</v>
      </c>
    </row>
    <row r="41" spans="1:7" x14ac:dyDescent="0.2">
      <c r="A41">
        <f t="shared" si="5"/>
        <v>40</v>
      </c>
      <c r="B41">
        <f t="shared" si="4"/>
        <v>255346.85876519658</v>
      </c>
      <c r="C41" s="7">
        <f t="shared" si="0"/>
        <v>3140.766362811918</v>
      </c>
      <c r="D41">
        <f t="shared" si="1"/>
        <v>24153.009560139071</v>
      </c>
      <c r="E41">
        <f t="shared" si="2"/>
        <v>231193.84920505752</v>
      </c>
      <c r="G41">
        <f t="shared" si="3"/>
        <v>27293.77592295099</v>
      </c>
    </row>
    <row r="42" spans="1:7" x14ac:dyDescent="0.2">
      <c r="A42">
        <f t="shared" si="5"/>
        <v>41</v>
      </c>
      <c r="B42">
        <f t="shared" si="4"/>
        <v>231193.84920505752</v>
      </c>
      <c r="C42" s="7">
        <f t="shared" si="0"/>
        <v>2843.6843452222074</v>
      </c>
      <c r="D42">
        <f t="shared" si="1"/>
        <v>24450.091577728766</v>
      </c>
      <c r="E42">
        <f t="shared" si="2"/>
        <v>206743.75762732874</v>
      </c>
      <c r="G42">
        <f t="shared" si="3"/>
        <v>27293.775922950976</v>
      </c>
    </row>
    <row r="43" spans="1:7" x14ac:dyDescent="0.2">
      <c r="A43">
        <f t="shared" si="5"/>
        <v>42</v>
      </c>
      <c r="B43">
        <f t="shared" si="4"/>
        <v>206743.75762732874</v>
      </c>
      <c r="C43" s="7">
        <f t="shared" si="0"/>
        <v>2542.9482188161437</v>
      </c>
      <c r="D43">
        <f t="shared" si="1"/>
        <v>24750.827704134841</v>
      </c>
      <c r="E43">
        <f t="shared" si="2"/>
        <v>181992.92992319391</v>
      </c>
      <c r="G43">
        <f t="shared" si="3"/>
        <v>27293.775922950987</v>
      </c>
    </row>
    <row r="44" spans="1:7" x14ac:dyDescent="0.2">
      <c r="A44">
        <f t="shared" si="5"/>
        <v>43</v>
      </c>
      <c r="B44">
        <f t="shared" si="4"/>
        <v>181992.92992319391</v>
      </c>
      <c r="C44" s="7">
        <f t="shared" si="0"/>
        <v>2238.5130380552851</v>
      </c>
      <c r="D44">
        <f t="shared" si="1"/>
        <v>25055.262884895677</v>
      </c>
      <c r="E44">
        <f t="shared" si="2"/>
        <v>156937.66703829824</v>
      </c>
      <c r="G44">
        <f t="shared" si="3"/>
        <v>27293.775922950961</v>
      </c>
    </row>
    <row r="45" spans="1:7" x14ac:dyDescent="0.2">
      <c r="A45">
        <f t="shared" si="5"/>
        <v>44</v>
      </c>
      <c r="B45">
        <f t="shared" si="4"/>
        <v>156937.66703829824</v>
      </c>
      <c r="C45" s="7">
        <f t="shared" si="0"/>
        <v>1930.3333045710683</v>
      </c>
      <c r="D45">
        <f t="shared" si="1"/>
        <v>25363.442618379911</v>
      </c>
      <c r="E45">
        <f t="shared" si="2"/>
        <v>131574.22441991832</v>
      </c>
      <c r="G45">
        <f t="shared" si="3"/>
        <v>27293.775922950979</v>
      </c>
    </row>
    <row r="46" spans="1:7" x14ac:dyDescent="0.2">
      <c r="A46">
        <f t="shared" si="5"/>
        <v>45</v>
      </c>
      <c r="B46">
        <f t="shared" si="4"/>
        <v>131574.22441991832</v>
      </c>
      <c r="C46" s="7">
        <f t="shared" si="0"/>
        <v>1618.3629603649954</v>
      </c>
      <c r="D46">
        <f t="shared" si="1"/>
        <v>25675.41296258595</v>
      </c>
      <c r="E46">
        <f t="shared" si="2"/>
        <v>105898.81145733237</v>
      </c>
      <c r="G46">
        <f t="shared" si="3"/>
        <v>27293.775922950947</v>
      </c>
    </row>
    <row r="47" spans="1:7" x14ac:dyDescent="0.2">
      <c r="A47">
        <f t="shared" si="5"/>
        <v>46</v>
      </c>
      <c r="B47">
        <f t="shared" si="4"/>
        <v>105898.81145733237</v>
      </c>
      <c r="C47" s="7">
        <f t="shared" si="0"/>
        <v>1302.555380925188</v>
      </c>
      <c r="D47">
        <f t="shared" si="1"/>
        <v>25991.220542025767</v>
      </c>
      <c r="E47">
        <f t="shared" si="2"/>
        <v>79907.590915306602</v>
      </c>
      <c r="G47">
        <f t="shared" si="3"/>
        <v>27293.775922950954</v>
      </c>
    </row>
    <row r="48" spans="1:7" x14ac:dyDescent="0.2">
      <c r="A48">
        <f t="shared" si="5"/>
        <v>47</v>
      </c>
      <c r="B48">
        <f t="shared" si="4"/>
        <v>79907.590915306602</v>
      </c>
      <c r="C48" s="7">
        <f t="shared" si="0"/>
        <v>982.86336825827118</v>
      </c>
      <c r="D48">
        <f t="shared" si="1"/>
        <v>26310.912554692641</v>
      </c>
      <c r="E48">
        <f t="shared" si="2"/>
        <v>53596.678360613965</v>
      </c>
      <c r="G48">
        <f t="shared" si="3"/>
        <v>27293.77592295091</v>
      </c>
    </row>
    <row r="49" spans="1:7" x14ac:dyDescent="0.2">
      <c r="A49">
        <f t="shared" si="5"/>
        <v>48</v>
      </c>
      <c r="B49">
        <f t="shared" si="4"/>
        <v>53596.678360613965</v>
      </c>
      <c r="C49" s="7">
        <f t="shared" si="0"/>
        <v>659.23914383555177</v>
      </c>
      <c r="D49">
        <f t="shared" si="1"/>
        <v>26634.536779115493</v>
      </c>
      <c r="E49">
        <f t="shared" si="2"/>
        <v>26962.141581498472</v>
      </c>
      <c r="G49">
        <f t="shared" si="3"/>
        <v>27293.775922951045</v>
      </c>
    </row>
    <row r="50" spans="1:7" x14ac:dyDescent="0.2">
      <c r="A50">
        <f t="shared" si="5"/>
        <v>49</v>
      </c>
      <c r="B50">
        <f t="shared" si="4"/>
        <v>26962.141581498472</v>
      </c>
      <c r="C50" s="7">
        <f t="shared" si="0"/>
        <v>331.63434145243122</v>
      </c>
      <c r="D50">
        <f t="shared" si="1"/>
        <v>26962.141581498556</v>
      </c>
      <c r="E50">
        <f t="shared" si="2"/>
        <v>0</v>
      </c>
      <c r="G50">
        <f t="shared" si="3"/>
        <v>27293.775922950987</v>
      </c>
    </row>
    <row r="51" spans="1:7" x14ac:dyDescent="0.2">
      <c r="A51">
        <f t="shared" si="5"/>
        <v>50</v>
      </c>
      <c r="B51">
        <f t="shared" si="4"/>
        <v>0</v>
      </c>
      <c r="C51" s="7">
        <f t="shared" si="0"/>
        <v>0</v>
      </c>
      <c r="D51" t="e">
        <f t="shared" si="1"/>
        <v>#DIV/0!</v>
      </c>
      <c r="E51" t="e">
        <f t="shared" si="2"/>
        <v>#DIV/0!</v>
      </c>
      <c r="G51" t="e">
        <f t="shared" si="3"/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loan1</vt:lpstr>
      <vt:lpstr>loan2</vt:lpstr>
      <vt:lpstr>summary</vt:lpstr>
      <vt:lpstr>Income &amp; Expenses</vt:lpstr>
      <vt:lpstr>loan3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Adam Persson</cp:lastModifiedBy>
  <dcterms:created xsi:type="dcterms:W3CDTF">2024-11-28T12:10:11Z</dcterms:created>
  <dcterms:modified xsi:type="dcterms:W3CDTF">2024-12-03T15:53:26Z</dcterms:modified>
</cp:coreProperties>
</file>